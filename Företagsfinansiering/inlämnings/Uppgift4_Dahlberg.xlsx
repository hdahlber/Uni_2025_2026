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ekto\Desktop\Kurser\2025-2026\Uni_2025_2026\Företagsfinansiering\inlämnings\"/>
    </mc:Choice>
  </mc:AlternateContent>
  <xr:revisionPtr revIDLastSave="0" documentId="8_{61480D51-69ED-4D06-8F80-943F11341EFD}" xr6:coauthVersionLast="47" xr6:coauthVersionMax="47" xr10:uidLastSave="{00000000-0000-0000-0000-000000000000}"/>
  <bookViews>
    <workbookView xWindow="-120" yWindow="-120" windowWidth="29040" windowHeight="15720" xr2:uid="{0ECF85D7-671C-4C23-A3DC-8BDA05AC8C55}"/>
  </bookViews>
  <sheets>
    <sheet name="SVAR TILL UPPGIFTER" sheetId="5" r:id="rId1"/>
    <sheet name="Euribor_360" sheetId="1" r:id="rId2"/>
    <sheet name="Räteterminer" sheetId="3" r:id="rId3"/>
    <sheet name="Eurex_11_4" sheetId="4" r:id="rId4"/>
    <sheet name="euribor_11_4" sheetId="8" r:id="rId5"/>
    <sheet name="euribor_10_4_19" sheetId="9" r:id="rId6"/>
  </sheets>
  <definedNames>
    <definedName name="Kesko_2012">'SVAR TILL UPPGIFTER'!$A$70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4" i="5" l="1"/>
  <c r="D94" i="5"/>
  <c r="E94" i="5"/>
  <c r="F94" i="5"/>
  <c r="G94" i="5"/>
  <c r="H94" i="5"/>
  <c r="I94" i="5"/>
  <c r="J94" i="5"/>
  <c r="K94" i="5"/>
  <c r="L94" i="5"/>
  <c r="B94" i="5"/>
  <c r="C93" i="5"/>
  <c r="D93" i="5"/>
  <c r="E93" i="5"/>
  <c r="F93" i="5"/>
  <c r="G93" i="5"/>
  <c r="H93" i="5"/>
  <c r="I93" i="5"/>
  <c r="J93" i="5"/>
  <c r="K93" i="5"/>
  <c r="L93" i="5"/>
  <c r="B93" i="5"/>
  <c r="C92" i="5"/>
  <c r="D92" i="5"/>
  <c r="E92" i="5"/>
  <c r="F92" i="5"/>
  <c r="G92" i="5"/>
  <c r="H92" i="5"/>
  <c r="I92" i="5"/>
  <c r="J92" i="5"/>
  <c r="K92" i="5"/>
  <c r="L92" i="5"/>
  <c r="B92" i="5"/>
  <c r="C90" i="5"/>
  <c r="D90" i="5"/>
  <c r="E90" i="5"/>
  <c r="F90" i="5"/>
  <c r="G90" i="5"/>
  <c r="H90" i="5"/>
  <c r="I90" i="5"/>
  <c r="J90" i="5"/>
  <c r="K90" i="5"/>
  <c r="L90" i="5"/>
  <c r="C91" i="5"/>
  <c r="D91" i="5"/>
  <c r="E91" i="5"/>
  <c r="F91" i="5"/>
  <c r="G91" i="5"/>
  <c r="H91" i="5"/>
  <c r="I91" i="5"/>
  <c r="J91" i="5"/>
  <c r="K91" i="5"/>
  <c r="L91" i="5"/>
  <c r="B91" i="5"/>
  <c r="B90" i="5"/>
  <c r="B30" i="5"/>
  <c r="D30" i="5" s="1"/>
  <c r="E30" i="5" s="1"/>
  <c r="J76" i="5"/>
  <c r="D77" i="5" s="1"/>
  <c r="C81" i="5" s="1"/>
  <c r="E81" i="5" s="1"/>
  <c r="I76" i="5"/>
  <c r="B77" i="5" s="1"/>
  <c r="C80" i="5" s="1"/>
  <c r="E80" i="5" s="1"/>
  <c r="C34" i="5"/>
  <c r="K34" i="5" s="1"/>
  <c r="B34" i="5"/>
  <c r="F34" i="5" s="1"/>
  <c r="G34" i="5" s="1"/>
  <c r="H34" i="5" s="1"/>
  <c r="C32" i="5"/>
  <c r="K32" i="5" s="1"/>
  <c r="B32" i="5"/>
  <c r="F32" i="5" s="1"/>
  <c r="G32" i="5" s="1"/>
  <c r="H32" i="5" s="1"/>
  <c r="C30" i="5"/>
  <c r="K30" i="5" s="1"/>
  <c r="C21" i="5"/>
  <c r="K21" i="5" s="1"/>
  <c r="B21" i="5"/>
  <c r="F21" i="5" s="1"/>
  <c r="G21" i="5" s="1"/>
  <c r="C19" i="5"/>
  <c r="K19" i="5" s="1"/>
  <c r="B19" i="5"/>
  <c r="F19" i="5" s="1"/>
  <c r="G19" i="5" s="1"/>
  <c r="B17" i="5"/>
  <c r="D17" i="5" s="1"/>
  <c r="E17" i="5" s="1"/>
  <c r="C17" i="5"/>
  <c r="K17" i="5" s="1"/>
  <c r="C10" i="5"/>
  <c r="B10" i="5"/>
  <c r="D10" i="5" s="1"/>
  <c r="E10" i="5" s="1"/>
  <c r="F30" i="5" l="1"/>
  <c r="G30" i="5" s="1"/>
  <c r="H30" i="5" s="1"/>
  <c r="D32" i="5"/>
  <c r="E32" i="5" s="1"/>
  <c r="D34" i="5"/>
  <c r="E34" i="5" s="1"/>
  <c r="H21" i="5"/>
  <c r="D21" i="5"/>
  <c r="E21" i="5" s="1"/>
  <c r="H19" i="5"/>
  <c r="D19" i="5"/>
  <c r="E19" i="5" s="1"/>
  <c r="F10" i="5"/>
  <c r="G10" i="5" s="1"/>
  <c r="H10" i="5" s="1"/>
  <c r="F17" i="5"/>
  <c r="G17" i="5" s="1"/>
  <c r="H17" i="5" s="1"/>
  <c r="I32" i="5" l="1"/>
  <c r="I34" i="5"/>
  <c r="J34" i="5" s="1"/>
  <c r="L34" i="5" s="1"/>
  <c r="I30" i="5"/>
  <c r="I21" i="5"/>
  <c r="J21" i="5" s="1"/>
  <c r="L21" i="5" s="1"/>
  <c r="I19" i="5"/>
  <c r="I17" i="5"/>
  <c r="J17" i="5" s="1"/>
  <c r="L17" i="5" s="1"/>
  <c r="I10" i="5"/>
  <c r="E2" i="5" s="1"/>
  <c r="C41" i="5" l="1"/>
  <c r="C43" i="5"/>
  <c r="C44" i="5"/>
  <c r="J19" i="5"/>
  <c r="A42" i="5" s="1"/>
  <c r="C40" i="5"/>
  <c r="J32" i="5"/>
  <c r="L32" i="5" s="1"/>
  <c r="J30" i="5"/>
  <c r="L30" i="5" s="1"/>
  <c r="E41" i="5" l="1"/>
  <c r="E42" i="5"/>
  <c r="G42" i="5" s="1"/>
  <c r="E43" i="5"/>
  <c r="G43" i="5" s="1"/>
  <c r="I43" i="5" s="1"/>
  <c r="E44" i="5"/>
  <c r="G44" i="5" s="1"/>
  <c r="I44" i="5" s="1"/>
  <c r="C42" i="5"/>
  <c r="I42" i="5" s="1"/>
  <c r="L19" i="5"/>
  <c r="E40" i="5" l="1"/>
  <c r="G40" i="5" s="1"/>
  <c r="I40" i="5" s="1"/>
  <c r="G41" i="5"/>
  <c r="I4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E16013-FB0A-4013-9E01-152F10C6C13E}" keepAlive="1" name="Query - euribor_korot_short_sv" description="Connection to the 'euribor_korot_short_sv' query in the workbook." type="5" refreshedVersion="0" background="1">
    <dbPr connection="Provider=Microsoft.Mashup.OleDb.1;Data Source=$Workbook$;Location=euribor_korot_short_sv;Extended Properties=&quot;&quot;" command="SELECT * FROM [euribor_korot_short_sv]"/>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<sst xmlns="http://schemas.openxmlformats.org/spreadsheetml/2006/main" count="171" uniqueCount="78">
  <si>
    <t>1vecka</t>
  </si>
  <si>
    <t>2veckor</t>
  </si>
  <si>
    <t>1mån</t>
  </si>
  <si>
    <t>2mån</t>
  </si>
  <si>
    <t>3mån</t>
  </si>
  <si>
    <t>6mån</t>
  </si>
  <si>
    <t>9mån</t>
  </si>
  <si>
    <t>12mån</t>
  </si>
  <si>
    <t>Termin</t>
  </si>
  <si>
    <t>Mars</t>
  </si>
  <si>
    <t>Juni</t>
  </si>
  <si>
    <t>September</t>
  </si>
  <si>
    <t>December</t>
  </si>
  <si>
    <t>Utgångsdag</t>
  </si>
  <si>
    <t>Prisnotering</t>
  </si>
  <si>
    <t>Lastprice</t>
  </si>
  <si>
    <t>Vilken termin?</t>
  </si>
  <si>
    <t>USER INPUT</t>
  </si>
  <si>
    <t>Utgångsdag 1</t>
  </si>
  <si>
    <t>Utgångdag  2</t>
  </si>
  <si>
    <t>D1</t>
  </si>
  <si>
    <t>R1</t>
  </si>
  <si>
    <t>D2</t>
  </si>
  <si>
    <t>R2</t>
  </si>
  <si>
    <t>Bygg en excel-modell för beräkning av det teoretiska terminspriset.</t>
  </si>
  <si>
    <t>Dterm</t>
  </si>
  <si>
    <t>Utnyttja din modell och räkna ut de teoretiska priserna den 12.3.2014 för ränteterminer som utgick i juni, september och december.</t>
  </si>
  <si>
    <t>TERMIN</t>
  </si>
  <si>
    <t>Teoretiska pris</t>
  </si>
  <si>
    <t>Marknads notering</t>
  </si>
  <si>
    <t>Skillnad</t>
  </si>
  <si>
    <t>Hur bra motsvarade marknadsnoteringar och de teoretiska priserna varandra?</t>
  </si>
  <si>
    <t xml:space="preserve">De teoretiska priserna och markandsnoterningarna motsvarade varandra mycket dåligt. </t>
  </si>
  <si>
    <t>Datum</t>
  </si>
  <si>
    <t>Utnyttja din modell och räkna ut de teoretiska priserna den 11.4.2014 för juni- september- och decemberterminerna.</t>
  </si>
  <si>
    <t>D3</t>
  </si>
  <si>
    <t>D4</t>
  </si>
  <si>
    <t>Beräkna de totala kostnaderna för kombinationen lånet + terminskontrakt för fem olika möjliga räntenivåer i september (inklusive den teoretiska räntan som du räknade ut i punkt A) och presentera resultaten av din analys i tabellform. Presentera dina resultat även i grafisk form.</t>
  </si>
  <si>
    <t>Lånebelopp</t>
  </si>
  <si>
    <t>Ränte-%</t>
  </si>
  <si>
    <t>Räntekostnader för lånet</t>
  </si>
  <si>
    <t>Nettovärdet av terminskontrakt vid terminens utgång i september</t>
  </si>
  <si>
    <t>Prolongerat nettovärde av terminskontrakt i december</t>
  </si>
  <si>
    <t>Totala kostnader (Låneränta och termin)</t>
  </si>
  <si>
    <t>C. Användning av räntederivat i finska företag
Försök hitta tre finska företag som har utnyttjat ränteterminer, räntefuturer och/eller ränteswappar och berätta kort hur företagen har tagit upp informationen om dessa räntederivat i sina bokslut. (Tips! Googla med "korkojohdannai" för att hitta bokslut som innehåller olika räntederivat).</t>
  </si>
  <si>
    <t xml:space="preserve">Kesko </t>
  </si>
  <si>
    <t>Link_Kesko_2012</t>
  </si>
  <si>
    <t>Kesko använder räntederivat för att reglera låneportföljens räntebindningstid (målduration 3 år) och värderar öppna avtal till verkligt värde i bokslutet. I bokföringen tillämpas försiktighetsprincipen, vilket innebär att orealiserade värdeminskningar bokförs som kostnad, medan orealiserade värdeökningar inte intäktsförs. (Sida 130)</t>
  </si>
  <si>
    <t>Beräkna de teoretiska priserna den 10.4.2019 för Hennes &amp; Mauritz aktieterminer som utgick i april och i juni 2019.</t>
  </si>
  <si>
    <t>1v</t>
  </si>
  <si>
    <t>Utbetalning1</t>
  </si>
  <si>
    <t>Avstämningsdag1</t>
  </si>
  <si>
    <t>Utbetalning2</t>
  </si>
  <si>
    <t>avstämningsdag2</t>
  </si>
  <si>
    <t>april(3fredagen i månad)</t>
  </si>
  <si>
    <t>t1</t>
  </si>
  <si>
    <t>t2</t>
  </si>
  <si>
    <t>April-termin</t>
  </si>
  <si>
    <t>Euribor 1v</t>
  </si>
  <si>
    <t>Euribor 3mån</t>
  </si>
  <si>
    <t>Juni-Termin</t>
  </si>
  <si>
    <t>Börskurs per 30 november</t>
  </si>
  <si>
    <t>April</t>
  </si>
  <si>
    <t>Teoretisktpris</t>
  </si>
  <si>
    <t>Marknadspris (sälj)</t>
  </si>
  <si>
    <t>Vad berättar marknadspriset om förväntningarna på marknaden?</t>
  </si>
  <si>
    <t xml:space="preserve">Vad hände med dina aktier, terminer och totalposition om aktiekursen vid terminens utgång var 135, 140, 145, 150, 155, 160, 165, 170, 175 eller 180 kr? Beakta också den utbetalda dividenden. Rita ett diagram som beskriver resultat i grafisk form. </t>
  </si>
  <si>
    <t>aktieantal</t>
  </si>
  <si>
    <t>Utgång</t>
  </si>
  <si>
    <t>Terminpris</t>
  </si>
  <si>
    <t>Värdet aktier</t>
  </si>
  <si>
    <t>Div utdelning värd</t>
  </si>
  <si>
    <t>Tot</t>
  </si>
  <si>
    <t>Resultat termin</t>
  </si>
  <si>
    <t>Tot värde</t>
  </si>
  <si>
    <t xml:space="preserve"> Kan du på basis av marknadsinformationen se några hinder för dina planer att skydda aktieportföljen?</t>
  </si>
  <si>
    <t>Marknadspriset ligger about 4 kronor under det teoretiska priset för båda terminerna. Det betyder att marknaden den 10 april var bearish och investerare förväntar sig att H&amp;M aktien ska falla i värde.</t>
  </si>
  <si>
    <t>1. Likviditet och spread: 
Kan finnas en spread på själva marknaden var ask och bid matchar inte varande, om marknaden blir orolig kan det vara att denna skillnad ökar starkt
2. Kostnad för skydd
Det kostar ett "premium" att ha en skyddad portfölj. Kan vara att räntor 'r negativa som betyder att måst sälja terminer till en betydligt lägre 
pris än vad aktiekursen är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</si>
</sst>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0\ &quot;€&quot;;[Red]\-#,##0\ &quot;€&quot;"/>
    <numFmt numFmtId="8" formatCode="#,##0.00\ &quot;€&quot;;[Red]\-#,##0.00\ &quot;€&quot;"/>
    <numFmt numFmtId="43" formatCode="_-* #,##0.00_-;\-* #,##0.00_-;_-* &quot;-&quot;??_-;_-@_-"/>
    <numFmt numFmtId="165" formatCode="0.000\ %"/>
    <numFmt numFmtId="172" formatCode="yyyy\-mm\-dd;@"/>
    <numFmt numFmtId="175" formatCode="#,##0.000\ &quot;€&quot;;[Red]\-#,##0.000\ &quot;€&quot;"/>
    <numFmt numFmtId="179" formatCode="#,##0.00\ [$SEK]"/>
    <numFmt numFmtId="180" formatCode="_-* #,##0.00\ [$SEK]_-;\-* #,##0.00\ [$SEK]_-;_-* &quot;-&quot;??\ [$SEK]_-;_-@_-"/>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rgb="FF212529"/>
      <name val="Arial"/>
      <family val="2"/>
    </font>
    <font>
      <sz val="11"/>
      <color rgb="FF212529"/>
      <name val="Aptos Narrow"/>
      <family val="2"/>
      <scheme val="minor"/>
    </font>
    <font>
      <u/>
      <sz val="11"/>
      <color theme="10"/>
      <name val="Aptos Narrow"/>
      <family val="2"/>
      <scheme val="minor"/>
    </font>
    <font>
      <sz val="12"/>
      <color rgb="FF212529"/>
      <name val="Aptos Narrow"/>
      <family val="2"/>
      <scheme val="minor"/>
    </font>
    <font>
      <sz val="14"/>
      <color theme="1"/>
      <name val="Aptos Narrow"/>
      <family val="2"/>
      <scheme val="minor"/>
    </font>
    <font>
      <sz val="8"/>
      <name val="Aptos Narrow"/>
      <family val="2"/>
      <scheme val="minor"/>
    </font>
    <font>
      <sz val="10"/>
      <color rgb="FF000000"/>
      <name val="Arial"/>
      <family val="2"/>
    </font>
  </fonts>
  <fills count="6">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CC5CC"/>
      </left>
      <right style="medium">
        <color rgb="FFCCC5CC"/>
      </right>
      <top style="medium">
        <color rgb="FFCCC5CC"/>
      </top>
      <bottom style="medium">
        <color rgb="FFCCC5CC"/>
      </bottom>
      <diagonal/>
    </border>
    <border>
      <left style="thin">
        <color indexed="64"/>
      </left>
      <right style="thin">
        <color indexed="64"/>
      </right>
      <top style="thin">
        <color indexed="64"/>
      </top>
      <bottom/>
      <diagonal/>
    </border>
    <border>
      <left style="medium">
        <color rgb="FFCCC5CC"/>
      </left>
      <right style="medium">
        <color rgb="FFCCC5CC"/>
      </right>
      <top style="medium">
        <color rgb="FFCCC5CC"/>
      </top>
      <bottom style="thin">
        <color indexed="64"/>
      </bottom>
      <diagonal/>
    </border>
    <border>
      <left style="medium">
        <color rgb="FFCCC5CC"/>
      </left>
      <right style="thin">
        <color indexed="64"/>
      </right>
      <top style="medium">
        <color rgb="FFCCC5CC"/>
      </top>
      <bottom style="thin">
        <color indexed="64"/>
      </bottom>
      <diagonal/>
    </border>
  </borders>
  <cellStyleXfs count="3">
    <xf numFmtId="0" fontId="0" fillId="0" borderId="0"/>
    <xf numFmtId="43" fontId="1" fillId="0" borderId="0" applyFont="0" applyFill="0" applyBorder="0" applyAlignment="0" applyProtection="0"/>
    <xf numFmtId="0" fontId="5" fillId="0" borderId="0" applyNumberFormat="0" applyFill="0" applyBorder="0" applyAlignment="0" applyProtection="0"/>
  </cellStyleXfs>
  <cellXfs count="162">
    <xf numFmtId="0" fontId="0" fillId="0" borderId="0" xfId="0"/>
    <xf numFmtId="165" fontId="0" fillId="0" borderId="0" xfId="0" applyNumberFormat="1"/>
    <xf numFmtId="165" fontId="0" fillId="0" borderId="0" xfId="0" applyNumberFormat="1" applyFont="1"/>
    <xf numFmtId="165" fontId="4" fillId="0" borderId="0" xfId="0" applyNumberFormat="1" applyFont="1"/>
    <xf numFmtId="0" fontId="3" fillId="0" borderId="0" xfId="0" applyFont="1"/>
    <xf numFmtId="172" fontId="0" fillId="0" borderId="0" xfId="0" applyNumberFormat="1"/>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72" fontId="6" fillId="0" borderId="0" xfId="0" applyNumberFormat="1" applyFont="1"/>
    <xf numFmtId="165" fontId="6" fillId="0" borderId="0" xfId="0" applyNumberFormat="1" applyFont="1"/>
    <xf numFmtId="0" fontId="0" fillId="0" borderId="2" xfId="0" applyBorder="1"/>
    <xf numFmtId="0" fontId="0" fillId="0" borderId="3" xfId="0" applyBorder="1"/>
    <xf numFmtId="0" fontId="0" fillId="0" borderId="4" xfId="0" applyBorder="1"/>
    <xf numFmtId="172" fontId="0" fillId="0" borderId="7" xfId="0" applyNumberFormat="1" applyBorder="1"/>
    <xf numFmtId="165" fontId="0" fillId="0" borderId="8" xfId="0" applyNumberFormat="1" applyBorder="1"/>
    <xf numFmtId="172" fontId="0" fillId="0" borderId="8" xfId="0" applyNumberFormat="1" applyBorder="1"/>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10" fontId="0" fillId="0" borderId="9" xfId="0" applyNumberFormat="1" applyBorder="1"/>
    <xf numFmtId="0" fontId="0" fillId="0" borderId="1" xfId="0" applyBorder="1"/>
    <xf numFmtId="0" fontId="0" fillId="2" borderId="2" xfId="0" applyFill="1" applyBorder="1"/>
    <xf numFmtId="0" fontId="0" fillId="2" borderId="3" xfId="0" applyFill="1" applyBorder="1"/>
    <xf numFmtId="0" fontId="0" fillId="2" borderId="4" xfId="0" applyFill="1" applyBorder="1"/>
    <xf numFmtId="0" fontId="0" fillId="2" borderId="1" xfId="0" applyFill="1" applyBorder="1"/>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165" fontId="0" fillId="0" borderId="1" xfId="0" applyNumberFormat="1" applyBorder="1" applyAlignment="1">
      <alignment horizontal="center"/>
    </xf>
    <xf numFmtId="0" fontId="0" fillId="2" borderId="0" xfId="0" applyFill="1" applyBorder="1"/>
    <xf numFmtId="0" fontId="0" fillId="0" borderId="8" xfId="0" applyNumberFormat="1" applyBorder="1"/>
    <xf numFmtId="165" fontId="0" fillId="0" borderId="9" xfId="0" applyNumberFormat="1" applyBorder="1"/>
    <xf numFmtId="0" fontId="0" fillId="0" borderId="13" xfId="0" applyBorder="1"/>
    <xf numFmtId="0" fontId="0" fillId="2" borderId="6" xfId="0" applyFill="1" applyBorder="1"/>
    <xf numFmtId="10" fontId="0" fillId="0" borderId="6" xfId="0" applyNumberFormat="1" applyBorder="1"/>
    <xf numFmtId="0" fontId="7" fillId="0" borderId="5" xfId="0" applyFont="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0" fillId="4" borderId="0" xfId="0" applyFill="1" applyBorder="1" applyAlignment="1">
      <alignment horizontal="center"/>
    </xf>
    <xf numFmtId="0" fontId="0" fillId="0" borderId="14" xfId="0" applyBorder="1" applyAlignment="1">
      <alignment horizontal="center"/>
    </xf>
    <xf numFmtId="0" fontId="0" fillId="5" borderId="1" xfId="0" applyFill="1" applyBorder="1"/>
    <xf numFmtId="172" fontId="0" fillId="5" borderId="1" xfId="0" applyNumberFormat="1" applyFill="1" applyBorder="1"/>
    <xf numFmtId="0" fontId="0" fillId="2" borderId="5" xfId="0" applyFill="1" applyBorder="1"/>
    <xf numFmtId="0" fontId="0" fillId="2" borderId="13" xfId="0" applyFill="1" applyBorder="1"/>
    <xf numFmtId="0" fontId="0" fillId="4" borderId="3" xfId="0" applyFill="1" applyBorder="1" applyAlignment="1">
      <alignment horizontal="center"/>
    </xf>
    <xf numFmtId="0" fontId="0" fillId="5" borderId="0" xfId="0" applyFill="1" applyBorder="1" applyAlignment="1">
      <alignment horizontal="center"/>
    </xf>
    <xf numFmtId="0" fontId="9" fillId="0" borderId="15" xfId="0" applyFont="1" applyBorder="1" applyAlignment="1">
      <alignment horizontal="right" vertical="top" wrapText="1" readingOrder="1"/>
    </xf>
    <xf numFmtId="10" fontId="9" fillId="0" borderId="15" xfId="0" applyNumberFormat="1" applyFont="1" applyBorder="1" applyAlignment="1">
      <alignment horizontal="right" vertical="top" wrapText="1" readingOrder="1"/>
    </xf>
    <xf numFmtId="10" fontId="9" fillId="0" borderId="15" xfId="1" applyNumberFormat="1" applyFont="1" applyBorder="1" applyAlignment="1">
      <alignment horizontal="right" vertical="top" wrapText="1" readingOrder="1"/>
    </xf>
    <xf numFmtId="0" fontId="0" fillId="4" borderId="2"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0" borderId="5" xfId="0" applyBorder="1" applyAlignment="1"/>
    <xf numFmtId="172" fontId="0" fillId="0" borderId="5" xfId="0" applyNumberFormat="1" applyBorder="1" applyAlignment="1"/>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16" xfId="0" applyBorder="1"/>
    <xf numFmtId="6" fontId="0" fillId="0" borderId="13" xfId="0" applyNumberFormat="1" applyBorder="1"/>
    <xf numFmtId="0" fontId="2" fillId="0" borderId="2" xfId="0"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3" xfId="0" applyBorder="1" applyAlignment="1"/>
    <xf numFmtId="0" fontId="0" fillId="0" borderId="0" xfId="0" applyBorder="1" applyAlignment="1">
      <alignment horizontal="center" wrapText="1"/>
    </xf>
    <xf numFmtId="165" fontId="0" fillId="0" borderId="5" xfId="0" applyNumberFormat="1" applyBorder="1" applyAlignment="1">
      <alignment horizontal="center"/>
    </xf>
    <xf numFmtId="165" fontId="0" fillId="0" borderId="0" xfId="0" applyNumberFormat="1" applyBorder="1" applyAlignment="1">
      <alignment horizontal="center"/>
    </xf>
    <xf numFmtId="8" fontId="0" fillId="0" borderId="0" xfId="0" applyNumberFormat="1" applyBorder="1" applyAlignment="1">
      <alignment horizontal="center"/>
    </xf>
    <xf numFmtId="175" fontId="0" fillId="0" borderId="0" xfId="0" applyNumberFormat="1" applyBorder="1" applyAlignment="1">
      <alignment horizontal="center"/>
    </xf>
    <xf numFmtId="0" fontId="2" fillId="0" borderId="3" xfId="0" applyFont="1" applyBorder="1" applyAlignment="1">
      <alignment horizontal="center" wrapText="1"/>
    </xf>
    <xf numFmtId="0" fontId="2" fillId="0" borderId="0"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5" fillId="0" borderId="7" xfId="2" applyBorder="1" applyAlignment="1">
      <alignment horizontal="center"/>
    </xf>
    <xf numFmtId="0" fontId="5" fillId="0" borderId="8" xfId="2"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0" borderId="4" xfId="0" applyBorder="1" applyAlignment="1"/>
    <xf numFmtId="0" fontId="0" fillId="0" borderId="8" xfId="0" applyBorder="1" applyAlignment="1"/>
    <xf numFmtId="172" fontId="0" fillId="0" borderId="8" xfId="0" applyNumberFormat="1" applyBorder="1" applyAlignment="1"/>
    <xf numFmtId="0" fontId="0" fillId="0" borderId="11" xfId="0" applyBorder="1"/>
    <xf numFmtId="0" fontId="0" fillId="0" borderId="12" xfId="0" applyBorder="1"/>
    <xf numFmtId="10" fontId="9" fillId="0" borderId="17" xfId="0" applyNumberFormat="1" applyFont="1" applyBorder="1" applyAlignment="1">
      <alignment horizontal="right" vertical="top" wrapText="1" readingOrder="1"/>
    </xf>
    <xf numFmtId="10" fontId="9" fillId="0" borderId="18" xfId="0" applyNumberFormat="1" applyFont="1" applyBorder="1" applyAlignment="1">
      <alignment horizontal="right" vertical="top" wrapText="1" readingOrder="1"/>
    </xf>
    <xf numFmtId="179" fontId="0" fillId="0" borderId="0" xfId="0" applyNumberFormat="1" applyBorder="1"/>
    <xf numFmtId="180" fontId="0" fillId="0" borderId="0" xfId="0" applyNumberFormat="1" applyBorder="1"/>
    <xf numFmtId="179" fontId="0" fillId="0" borderId="6" xfId="0" applyNumberFormat="1" applyBorder="1"/>
    <xf numFmtId="179" fontId="0" fillId="0" borderId="8" xfId="0" applyNumberFormat="1" applyBorder="1"/>
    <xf numFmtId="180" fontId="0" fillId="0" borderId="8" xfId="0" applyNumberFormat="1" applyBorder="1"/>
    <xf numFmtId="179" fontId="0" fillId="0" borderId="9" xfId="0" applyNumberFormat="1" applyBorder="1"/>
    <xf numFmtId="0" fontId="2" fillId="0" borderId="2" xfId="0" applyFont="1" applyBorder="1" applyAlignment="1">
      <alignment horizontal="center"/>
    </xf>
    <xf numFmtId="0" fontId="0" fillId="0" borderId="6" xfId="0" applyBorder="1" applyAlignment="1">
      <alignment horizontal="center" wrapText="1"/>
    </xf>
    <xf numFmtId="0" fontId="0" fillId="0" borderId="16" xfId="0" applyBorder="1" applyAlignment="1">
      <alignment horizontal="center"/>
    </xf>
    <xf numFmtId="0" fontId="0" fillId="0" borderId="13" xfId="0" applyBorder="1" applyAlignment="1">
      <alignment horizontal="center"/>
    </xf>
    <xf numFmtId="179" fontId="0" fillId="5" borderId="11" xfId="0" applyNumberFormat="1" applyFill="1" applyBorder="1"/>
    <xf numFmtId="0" fontId="2" fillId="2" borderId="1" xfId="0" applyFont="1" applyFill="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0" fillId="3" borderId="6" xfId="0" applyFill="1" applyBorder="1"/>
    <xf numFmtId="172" fontId="0" fillId="3" borderId="6" xfId="0" applyNumberFormat="1" applyFill="1"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0"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5" borderId="6"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5" borderId="5" xfId="0" applyFill="1" applyBorder="1" applyAlignment="1">
      <alignment horizontal="center"/>
    </xf>
    <xf numFmtId="0" fontId="0" fillId="5" borderId="7" xfId="0" applyFill="1" applyBorder="1" applyAlignment="1">
      <alignment horizontal="center"/>
    </xf>
    <xf numFmtId="0" fontId="0" fillId="5" borderId="11" xfId="0" applyFill="1" applyBorder="1" applyAlignment="1">
      <alignment horizontal="center"/>
    </xf>
    <xf numFmtId="175" fontId="0" fillId="0" borderId="6" xfId="0" applyNumberFormat="1" applyBorder="1" applyAlignment="1">
      <alignment horizontal="center"/>
    </xf>
    <xf numFmtId="165" fontId="0" fillId="0" borderId="7" xfId="0" applyNumberFormat="1" applyBorder="1" applyAlignment="1">
      <alignment horizontal="center"/>
    </xf>
    <xf numFmtId="165" fontId="0" fillId="0" borderId="8" xfId="0" applyNumberFormat="1" applyBorder="1" applyAlignment="1">
      <alignment horizontal="center"/>
    </xf>
    <xf numFmtId="8" fontId="0" fillId="0" borderId="8" xfId="0" applyNumberFormat="1" applyBorder="1" applyAlignment="1">
      <alignment horizontal="center"/>
    </xf>
    <xf numFmtId="175" fontId="0" fillId="0" borderId="8" xfId="0" applyNumberFormat="1" applyBorder="1" applyAlignment="1">
      <alignment horizontal="center"/>
    </xf>
    <xf numFmtId="175" fontId="0" fillId="0" borderId="9" xfId="0" applyNumberForma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xf>
    <xf numFmtId="172" fontId="2" fillId="0" borderId="1" xfId="0" applyNumberFormat="1" applyFont="1" applyBorder="1" applyAlignment="1">
      <alignment horizontal="center"/>
    </xf>
    <xf numFmtId="0" fontId="2" fillId="2" borderId="1" xfId="0" applyFont="1" applyFill="1" applyBorder="1" applyAlignment="1">
      <alignment horizontal="center"/>
    </xf>
    <xf numFmtId="0" fontId="0" fillId="2" borderId="10" xfId="0" applyFill="1" applyBorder="1"/>
    <xf numFmtId="0" fontId="0" fillId="2" borderId="11" xfId="0" applyFill="1" applyBorder="1"/>
    <xf numFmtId="0" fontId="0" fillId="0" borderId="1" xfId="0" applyBorder="1" applyAlignment="1">
      <alignment horizontal="left" vertical="top" wrapText="1"/>
    </xf>
    <xf numFmtId="0" fontId="0" fillId="0" borderId="1" xfId="0" applyBorder="1" applyAlignment="1">
      <alignment horizontal="left" vertical="top"/>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1"/>
          <c:tx>
            <c:strRef>
              <c:f>'SVAR TILL UPPGIFTER'!$I$39</c:f>
              <c:strCache>
                <c:ptCount val="1"/>
                <c:pt idx="0">
                  <c:v>Totala kostnader (Låneränta och termin)</c:v>
                </c:pt>
              </c:strCache>
            </c:strRef>
          </c:tx>
          <c:spPr>
            <a:ln w="28575" cap="rnd">
              <a:solidFill>
                <a:schemeClr val="accent4"/>
              </a:solidFill>
              <a:round/>
            </a:ln>
            <a:effectLst/>
          </c:spPr>
          <c:marker>
            <c:symbol val="none"/>
          </c:marker>
          <c:cat>
            <c:numRef>
              <c:f>'SVAR TILL UPPGIFTER'!$A$40:$A$44</c:f>
              <c:numCache>
                <c:formatCode>0.000\ %</c:formatCode>
                <c:ptCount val="5"/>
                <c:pt idx="0">
                  <c:v>3.0000000000000001E-3</c:v>
                </c:pt>
                <c:pt idx="1">
                  <c:v>5.0000000000000001E-3</c:v>
                </c:pt>
                <c:pt idx="2">
                  <c:v>6.6327496496271232E-3</c:v>
                </c:pt>
                <c:pt idx="3">
                  <c:v>0.01</c:v>
                </c:pt>
                <c:pt idx="4">
                  <c:v>1.2E-2</c:v>
                </c:pt>
              </c:numCache>
            </c:numRef>
          </c:cat>
          <c:val>
            <c:numRef>
              <c:f>'SVAR TILL UPPGIFTER'!$I$40:$I$44</c:f>
              <c:numCache>
                <c:formatCode>#\ ##0.000\ "€";[Red]\-#\ ##0.000\ "€"</c:formatCode>
                <c:ptCount val="5"/>
                <c:pt idx="0">
                  <c:v>3353.2234339781567</c:v>
                </c:pt>
                <c:pt idx="1">
                  <c:v>3353.2234339781567</c:v>
                </c:pt>
                <c:pt idx="2">
                  <c:v>3353.2234339781567</c:v>
                </c:pt>
                <c:pt idx="3">
                  <c:v>3353.2234339781567</c:v>
                </c:pt>
                <c:pt idx="4">
                  <c:v>3353.2234339781562</c:v>
                </c:pt>
              </c:numCache>
            </c:numRef>
          </c:val>
          <c:smooth val="0"/>
          <c:extLst>
            <c:ext xmlns:c16="http://schemas.microsoft.com/office/drawing/2014/chart" uri="{C3380CC4-5D6E-409C-BE32-E72D297353CC}">
              <c16:uniqueId val="{00000008-4E61-4F40-A40E-3ECA302E75E6}"/>
            </c:ext>
          </c:extLst>
        </c:ser>
        <c:ser>
          <c:idx val="0"/>
          <c:order val="2"/>
          <c:tx>
            <c:strRef>
              <c:f>'SVAR TILL UPPGIFTER'!$E$39</c:f>
              <c:strCache>
                <c:ptCount val="1"/>
                <c:pt idx="0">
                  <c:v>Nettovärdet av terminskontrakt vid terminens utgång i september</c:v>
                </c:pt>
              </c:strCache>
            </c:strRef>
          </c:tx>
          <c:spPr>
            <a:ln w="28575" cap="rnd">
              <a:solidFill>
                <a:schemeClr val="accent1"/>
              </a:solidFill>
              <a:round/>
            </a:ln>
            <a:effectLst/>
          </c:spPr>
          <c:marker>
            <c:symbol val="none"/>
          </c:marker>
          <c:val>
            <c:numRef>
              <c:f>'SVAR TILL UPPGIFTER'!$E$40:$E$44</c:f>
              <c:numCache>
                <c:formatCode>#\ ##0.000\ "€";[Red]\-#\ ##0.000\ "€"</c:formatCode>
                <c:ptCount val="5"/>
                <c:pt idx="0">
                  <c:v>-1835.1651004436535</c:v>
                </c:pt>
                <c:pt idx="1">
                  <c:v>-824.40370152206617</c:v>
                </c:pt>
                <c:pt idx="2">
                  <c:v>0</c:v>
                </c:pt>
                <c:pt idx="3">
                  <c:v>1698.0398541682516</c:v>
                </c:pt>
                <c:pt idx="4">
                  <c:v>2705.237346072091</c:v>
                </c:pt>
              </c:numCache>
            </c:numRef>
          </c:val>
          <c:smooth val="0"/>
          <c:extLst>
            <c:ext xmlns:c16="http://schemas.microsoft.com/office/drawing/2014/chart" uri="{C3380CC4-5D6E-409C-BE32-E72D297353CC}">
              <c16:uniqueId val="{00000009-4E61-4F40-A40E-3ECA302E75E6}"/>
            </c:ext>
          </c:extLst>
        </c:ser>
        <c:ser>
          <c:idx val="1"/>
          <c:order val="3"/>
          <c:tx>
            <c:strRef>
              <c:f>'SVAR TILL UPPGIFTER'!$C$39</c:f>
              <c:strCache>
                <c:ptCount val="1"/>
                <c:pt idx="0">
                  <c:v>Räntekostnader för lånet</c:v>
                </c:pt>
              </c:strCache>
            </c:strRef>
          </c:tx>
          <c:spPr>
            <a:ln w="28575" cap="rnd">
              <a:solidFill>
                <a:schemeClr val="accent2"/>
              </a:solidFill>
              <a:round/>
            </a:ln>
            <a:effectLst/>
          </c:spPr>
          <c:marker>
            <c:symbol val="none"/>
          </c:marker>
          <c:val>
            <c:numRef>
              <c:f>'SVAR TILL UPPGIFTER'!$C$40:$C$44</c:f>
              <c:numCache>
                <c:formatCode>"€"#,##0.00_);[Red]\("€"#,##0.00\)</c:formatCode>
                <c:ptCount val="5"/>
                <c:pt idx="0">
                  <c:v>1516.6666666666665</c:v>
                </c:pt>
                <c:pt idx="1">
                  <c:v>2527.7777777777778</c:v>
                </c:pt>
                <c:pt idx="2">
                  <c:v>3353.2234339781567</c:v>
                </c:pt>
                <c:pt idx="3">
                  <c:v>5055.5555555555557</c:v>
                </c:pt>
                <c:pt idx="4">
                  <c:v>6066.6666666666661</c:v>
                </c:pt>
              </c:numCache>
            </c:numRef>
          </c:val>
          <c:smooth val="0"/>
          <c:extLst>
            <c:ext xmlns:c16="http://schemas.microsoft.com/office/drawing/2014/chart" uri="{C3380CC4-5D6E-409C-BE32-E72D297353CC}">
              <c16:uniqueId val="{0000000A-4E61-4F40-A40E-3ECA302E75E6}"/>
            </c:ext>
          </c:extLst>
        </c:ser>
        <c:dLbls>
          <c:dLblPos val="t"/>
          <c:showLegendKey val="0"/>
          <c:showVal val="0"/>
          <c:showCatName val="0"/>
          <c:showSerName val="0"/>
          <c:showPercent val="0"/>
          <c:showBubbleSize val="0"/>
        </c:dLbls>
        <c:smooth val="0"/>
        <c:axId val="1096007055"/>
        <c:axId val="1096008015"/>
        <c:extLst>
          <c:ext xmlns:c15="http://schemas.microsoft.com/office/drawing/2012/chart" uri="{02D57815-91ED-43cb-92C2-25804820EDAC}">
            <c15:filteredLineSeries>
              <c15:ser>
                <c:idx val="2"/>
                <c:order val="0"/>
                <c:tx>
                  <c:strRef>
                    <c:extLst>
                      <c:ext uri="{02D57815-91ED-43cb-92C2-25804820EDAC}">
                        <c15:formulaRef>
                          <c15:sqref>'SVAR TILL UPPGIFTER'!$G$39</c15:sqref>
                        </c15:formulaRef>
                      </c:ext>
                    </c:extLst>
                    <c:strCache>
                      <c:ptCount val="1"/>
                      <c:pt idx="0">
                        <c:v>Prolongerat nettovärde av terminskontrakt i december</c:v>
                      </c:pt>
                    </c:strCache>
                  </c:strRef>
                </c:tx>
                <c:spPr>
                  <a:ln w="28575" cap="rnd">
                    <a:solidFill>
                      <a:schemeClr val="accent3"/>
                    </a:solidFill>
                    <a:round/>
                  </a:ln>
                  <a:effectLst/>
                </c:spPr>
                <c:marker>
                  <c:symbol val="none"/>
                </c:marker>
                <c:cat>
                  <c:numRef>
                    <c:extLst>
                      <c:ext uri="{02D57815-91ED-43cb-92C2-25804820EDAC}">
                        <c15:formulaRef>
                          <c15:sqref>'SVAR TILL UPPGIFTER'!$A$40:$A$44</c15:sqref>
                        </c15:formulaRef>
                      </c:ext>
                    </c:extLst>
                    <c:numCache>
                      <c:formatCode>0.000\ %</c:formatCode>
                      <c:ptCount val="5"/>
                      <c:pt idx="0">
                        <c:v>3.0000000000000001E-3</c:v>
                      </c:pt>
                      <c:pt idx="1">
                        <c:v>5.0000000000000001E-3</c:v>
                      </c:pt>
                      <c:pt idx="2">
                        <c:v>6.6327496496271232E-3</c:v>
                      </c:pt>
                      <c:pt idx="3">
                        <c:v>0.01</c:v>
                      </c:pt>
                      <c:pt idx="4">
                        <c:v>1.2E-2</c:v>
                      </c:pt>
                    </c:numCache>
                  </c:numRef>
                </c:cat>
                <c:val>
                  <c:numRef>
                    <c:extLst>
                      <c:ext uri="{02D57815-91ED-43cb-92C2-25804820EDAC}">
                        <c15:formulaRef>
                          <c15:sqref>'SVAR TILL UPPGIFTER'!$G$40:$G$44</c15:sqref>
                        </c15:formulaRef>
                      </c:ext>
                    </c:extLst>
                    <c:numCache>
                      <c:formatCode>#\ ##0.000\ "€";[Red]\-#\ ##0.000\ "€"</c:formatCode>
                      <c:ptCount val="5"/>
                      <c:pt idx="0">
                        <c:v>-1836.5567673114901</c:v>
                      </c:pt>
                      <c:pt idx="1">
                        <c:v>-825.44565620037883</c:v>
                      </c:pt>
                      <c:pt idx="2">
                        <c:v>0</c:v>
                      </c:pt>
                      <c:pt idx="3">
                        <c:v>1702.332121577399</c:v>
                      </c:pt>
                      <c:pt idx="4">
                        <c:v>2713.4432326885099</c:v>
                      </c:pt>
                    </c:numCache>
                  </c:numRef>
                </c:val>
                <c:smooth val="0"/>
                <c:extLst>
                  <c:ext xmlns:c16="http://schemas.microsoft.com/office/drawing/2014/chart" uri="{C3380CC4-5D6E-409C-BE32-E72D297353CC}">
                    <c16:uniqueId val="{00000007-4E61-4F40-A40E-3ECA302E75E6}"/>
                  </c:ext>
                </c:extLst>
              </c15:ser>
            </c15:filteredLineSeries>
          </c:ext>
        </c:extLst>
      </c:lineChart>
      <c:catAx>
        <c:axId val="1096007055"/>
        <c:scaling>
          <c:orientation val="minMax"/>
        </c:scaling>
        <c:delete val="0"/>
        <c:axPos val="t"/>
        <c:numFmt formatCode="0.000\ %"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096008015"/>
        <c:crosses val="max"/>
        <c:auto val="1"/>
        <c:lblAlgn val="ctr"/>
        <c:lblOffset val="100"/>
        <c:noMultiLvlLbl val="0"/>
      </c:catAx>
      <c:valAx>
        <c:axId val="109600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096007055"/>
        <c:crosses val="autoZero"/>
        <c:crossBetween val="between"/>
      </c:valAx>
      <c:spPr>
        <a:noFill/>
        <a:ln>
          <a:noFill/>
        </a:ln>
        <a:effectLst/>
      </c:spPr>
    </c:plotArea>
    <c:legend>
      <c:legendPos val="r"/>
      <c:layout>
        <c:manualLayout>
          <c:xMode val="edge"/>
          <c:yMode val="edge"/>
          <c:x val="0.7208630712118731"/>
          <c:y val="0.40492876418616691"/>
          <c:w val="0.24757366528293032"/>
          <c:h val="0.19189096505986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Skyddandet av aktier portfölj</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lotArea>
      <c:layout/>
      <c:lineChart>
        <c:grouping val="standard"/>
        <c:varyColors val="0"/>
        <c:ser>
          <c:idx val="0"/>
          <c:order val="0"/>
          <c:tx>
            <c:strRef>
              <c:f>'SVAR TILL UPPGIFTER'!$A$90</c:f>
              <c:strCache>
                <c:ptCount val="1"/>
                <c:pt idx="0">
                  <c:v>Värdet aktier</c:v>
                </c:pt>
              </c:strCache>
            </c:strRef>
          </c:tx>
          <c:spPr>
            <a:ln w="28575" cap="rnd">
              <a:solidFill>
                <a:schemeClr val="accent1"/>
              </a:solidFill>
              <a:round/>
            </a:ln>
            <a:effectLst/>
          </c:spPr>
          <c:marker>
            <c:symbol val="none"/>
          </c:marker>
          <c:cat>
            <c:numRef>
              <c:f>'SVAR TILL UPPGIFTER'!$B$89:$L$89</c:f>
              <c:numCache>
                <c:formatCode>General</c:formatCode>
                <c:ptCount val="11"/>
                <c:pt idx="0">
                  <c:v>135</c:v>
                </c:pt>
                <c:pt idx="1">
                  <c:v>140</c:v>
                </c:pt>
                <c:pt idx="2">
                  <c:v>145</c:v>
                </c:pt>
                <c:pt idx="3">
                  <c:v>150</c:v>
                </c:pt>
                <c:pt idx="4">
                  <c:v>155</c:v>
                </c:pt>
                <c:pt idx="5">
                  <c:v>160</c:v>
                </c:pt>
                <c:pt idx="6">
                  <c:v>165</c:v>
                </c:pt>
                <c:pt idx="7">
                  <c:v>170</c:v>
                </c:pt>
                <c:pt idx="8">
                  <c:v>175</c:v>
                </c:pt>
                <c:pt idx="9">
                  <c:v>180</c:v>
                </c:pt>
                <c:pt idx="10">
                  <c:v>185</c:v>
                </c:pt>
              </c:numCache>
            </c:numRef>
          </c:cat>
          <c:val>
            <c:numRef>
              <c:f>'SVAR TILL UPPGIFTER'!$B$90:$L$90</c:f>
              <c:numCache>
                <c:formatCode>General</c:formatCode>
                <c:ptCount val="11"/>
                <c:pt idx="0">
                  <c:v>108000</c:v>
                </c:pt>
                <c:pt idx="1">
                  <c:v>112000</c:v>
                </c:pt>
                <c:pt idx="2">
                  <c:v>116000</c:v>
                </c:pt>
                <c:pt idx="3">
                  <c:v>120000</c:v>
                </c:pt>
                <c:pt idx="4">
                  <c:v>124000</c:v>
                </c:pt>
                <c:pt idx="5">
                  <c:v>128000</c:v>
                </c:pt>
                <c:pt idx="6">
                  <c:v>132000</c:v>
                </c:pt>
                <c:pt idx="7">
                  <c:v>136000</c:v>
                </c:pt>
                <c:pt idx="8">
                  <c:v>140000</c:v>
                </c:pt>
                <c:pt idx="9">
                  <c:v>144000</c:v>
                </c:pt>
                <c:pt idx="10">
                  <c:v>148000</c:v>
                </c:pt>
              </c:numCache>
            </c:numRef>
          </c:val>
          <c:smooth val="0"/>
          <c:extLst>
            <c:ext xmlns:c16="http://schemas.microsoft.com/office/drawing/2014/chart" uri="{C3380CC4-5D6E-409C-BE32-E72D297353CC}">
              <c16:uniqueId val="{0000000B-EA09-43F5-A216-B1A0B20F51DB}"/>
            </c:ext>
          </c:extLst>
        </c:ser>
        <c:ser>
          <c:idx val="1"/>
          <c:order val="1"/>
          <c:tx>
            <c:strRef>
              <c:f>'SVAR TILL UPPGIFTER'!$A$93</c:f>
              <c:strCache>
                <c:ptCount val="1"/>
                <c:pt idx="0">
                  <c:v>Resultat termin</c:v>
                </c:pt>
              </c:strCache>
            </c:strRef>
          </c:tx>
          <c:spPr>
            <a:ln w="28575" cap="rnd">
              <a:solidFill>
                <a:schemeClr val="accent2"/>
              </a:solidFill>
              <a:round/>
            </a:ln>
            <a:effectLst/>
          </c:spPr>
          <c:marker>
            <c:symbol val="none"/>
          </c:marker>
          <c:cat>
            <c:numRef>
              <c:f>'SVAR TILL UPPGIFTER'!$B$89:$L$89</c:f>
              <c:numCache>
                <c:formatCode>General</c:formatCode>
                <c:ptCount val="11"/>
                <c:pt idx="0">
                  <c:v>135</c:v>
                </c:pt>
                <c:pt idx="1">
                  <c:v>140</c:v>
                </c:pt>
                <c:pt idx="2">
                  <c:v>145</c:v>
                </c:pt>
                <c:pt idx="3">
                  <c:v>150</c:v>
                </c:pt>
                <c:pt idx="4">
                  <c:v>155</c:v>
                </c:pt>
                <c:pt idx="5">
                  <c:v>160</c:v>
                </c:pt>
                <c:pt idx="6">
                  <c:v>165</c:v>
                </c:pt>
                <c:pt idx="7">
                  <c:v>170</c:v>
                </c:pt>
                <c:pt idx="8">
                  <c:v>175</c:v>
                </c:pt>
                <c:pt idx="9">
                  <c:v>180</c:v>
                </c:pt>
                <c:pt idx="10">
                  <c:v>185</c:v>
                </c:pt>
              </c:numCache>
            </c:numRef>
          </c:cat>
          <c:val>
            <c:numRef>
              <c:f>'SVAR TILL UPPGIFTER'!$B$93:$L$93</c:f>
              <c:numCache>
                <c:formatCode>General</c:formatCode>
                <c:ptCount val="11"/>
                <c:pt idx="0">
                  <c:v>18048</c:v>
                </c:pt>
                <c:pt idx="1">
                  <c:v>14048.000000000002</c:v>
                </c:pt>
                <c:pt idx="2">
                  <c:v>10048.000000000002</c:v>
                </c:pt>
                <c:pt idx="3">
                  <c:v>6048.0000000000018</c:v>
                </c:pt>
                <c:pt idx="4">
                  <c:v>2048.0000000000018</c:v>
                </c:pt>
                <c:pt idx="5">
                  <c:v>-1951.9999999999982</c:v>
                </c:pt>
                <c:pt idx="6">
                  <c:v>-5951.9999999999982</c:v>
                </c:pt>
                <c:pt idx="7">
                  <c:v>-9951.9999999999982</c:v>
                </c:pt>
                <c:pt idx="8">
                  <c:v>-13951.999999999998</c:v>
                </c:pt>
                <c:pt idx="9">
                  <c:v>-17952</c:v>
                </c:pt>
                <c:pt idx="10">
                  <c:v>-21952</c:v>
                </c:pt>
              </c:numCache>
            </c:numRef>
          </c:val>
          <c:smooth val="0"/>
          <c:extLst>
            <c:ext xmlns:c16="http://schemas.microsoft.com/office/drawing/2014/chart" uri="{C3380CC4-5D6E-409C-BE32-E72D297353CC}">
              <c16:uniqueId val="{0000000C-EA09-43F5-A216-B1A0B20F51DB}"/>
            </c:ext>
          </c:extLst>
        </c:ser>
        <c:ser>
          <c:idx val="2"/>
          <c:order val="2"/>
          <c:tx>
            <c:strRef>
              <c:f>'SVAR TILL UPPGIFTER'!$A$94</c:f>
              <c:strCache>
                <c:ptCount val="1"/>
                <c:pt idx="0">
                  <c:v>Tot värde</c:v>
                </c:pt>
              </c:strCache>
            </c:strRef>
          </c:tx>
          <c:spPr>
            <a:ln w="28575" cap="rnd">
              <a:solidFill>
                <a:schemeClr val="accent3"/>
              </a:solidFill>
              <a:round/>
            </a:ln>
            <a:effectLst/>
          </c:spPr>
          <c:marker>
            <c:symbol val="none"/>
          </c:marker>
          <c:cat>
            <c:numRef>
              <c:f>'SVAR TILL UPPGIFTER'!$B$89:$L$89</c:f>
              <c:numCache>
                <c:formatCode>General</c:formatCode>
                <c:ptCount val="11"/>
                <c:pt idx="0">
                  <c:v>135</c:v>
                </c:pt>
                <c:pt idx="1">
                  <c:v>140</c:v>
                </c:pt>
                <c:pt idx="2">
                  <c:v>145</c:v>
                </c:pt>
                <c:pt idx="3">
                  <c:v>150</c:v>
                </c:pt>
                <c:pt idx="4">
                  <c:v>155</c:v>
                </c:pt>
                <c:pt idx="5">
                  <c:v>160</c:v>
                </c:pt>
                <c:pt idx="6">
                  <c:v>165</c:v>
                </c:pt>
                <c:pt idx="7">
                  <c:v>170</c:v>
                </c:pt>
                <c:pt idx="8">
                  <c:v>175</c:v>
                </c:pt>
                <c:pt idx="9">
                  <c:v>180</c:v>
                </c:pt>
                <c:pt idx="10">
                  <c:v>185</c:v>
                </c:pt>
              </c:numCache>
            </c:numRef>
          </c:cat>
          <c:val>
            <c:numRef>
              <c:f>'SVAR TILL UPPGIFTER'!$B$94:$L$94</c:f>
              <c:numCache>
                <c:formatCode>General</c:formatCode>
                <c:ptCount val="11"/>
                <c:pt idx="0">
                  <c:v>129968</c:v>
                </c:pt>
                <c:pt idx="1">
                  <c:v>129968</c:v>
                </c:pt>
                <c:pt idx="2">
                  <c:v>129968</c:v>
                </c:pt>
                <c:pt idx="3">
                  <c:v>129968</c:v>
                </c:pt>
                <c:pt idx="4">
                  <c:v>129968</c:v>
                </c:pt>
                <c:pt idx="5">
                  <c:v>129968</c:v>
                </c:pt>
                <c:pt idx="6">
                  <c:v>129968</c:v>
                </c:pt>
                <c:pt idx="7">
                  <c:v>129968</c:v>
                </c:pt>
                <c:pt idx="8">
                  <c:v>129968</c:v>
                </c:pt>
                <c:pt idx="9">
                  <c:v>129968</c:v>
                </c:pt>
                <c:pt idx="10">
                  <c:v>129968</c:v>
                </c:pt>
              </c:numCache>
            </c:numRef>
          </c:val>
          <c:smooth val="0"/>
          <c:extLst>
            <c:ext xmlns:c16="http://schemas.microsoft.com/office/drawing/2014/chart" uri="{C3380CC4-5D6E-409C-BE32-E72D297353CC}">
              <c16:uniqueId val="{0000000D-EA09-43F5-A216-B1A0B20F51DB}"/>
            </c:ext>
          </c:extLst>
        </c:ser>
        <c:dLbls>
          <c:showLegendKey val="0"/>
          <c:showVal val="0"/>
          <c:showCatName val="0"/>
          <c:showSerName val="0"/>
          <c:showPercent val="0"/>
          <c:showBubbleSize val="0"/>
        </c:dLbls>
        <c:smooth val="0"/>
        <c:axId val="1293939871"/>
        <c:axId val="1293940351"/>
      </c:lineChart>
      <c:catAx>
        <c:axId val="129393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293940351"/>
        <c:crosses val="autoZero"/>
        <c:auto val="1"/>
        <c:lblAlgn val="ctr"/>
        <c:lblOffset val="100"/>
        <c:noMultiLvlLbl val="0"/>
      </c:catAx>
      <c:valAx>
        <c:axId val="12939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crossAx val="129393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2.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67235</xdr:rowOff>
    </xdr:from>
    <xdr:to>
      <xdr:col>9</xdr:col>
      <xdr:colOff>1311089</xdr:colOff>
      <xdr:row>61</xdr:row>
      <xdr:rowOff>179294</xdr:rowOff>
    </xdr:to>
    <xdr:graphicFrame macro="">
      <xdr:nvGraphicFramePr>
        <xdr:cNvPr id="9" name="Chart 8">
          <a:extLst>
            <a:ext uri="{FF2B5EF4-FFF2-40B4-BE49-F238E27FC236}">
              <a16:creationId xmlns:a16="http://schemas.microsoft.com/office/drawing/2014/main" id="{D2D62EA9-DD7C-F78F-4788-A348F4421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160244</xdr:colOff>
      <xdr:row>69</xdr:row>
      <xdr:rowOff>54348</xdr:rowOff>
    </xdr:from>
    <xdr:to>
      <xdr:col>18</xdr:col>
      <xdr:colOff>265615</xdr:colOff>
      <xdr:row>78</xdr:row>
      <xdr:rowOff>54589</xdr:rowOff>
    </xdr:to>
    <xdr:pic>
      <xdr:nvPicPr>
        <xdr:cNvPr id="10" name="Picture 9">
          <a:extLst>
            <a:ext uri="{FF2B5EF4-FFF2-40B4-BE49-F238E27FC236}">
              <a16:creationId xmlns:a16="http://schemas.microsoft.com/office/drawing/2014/main" id="{3389CB73-2D4D-6E33-A04B-F658B4213321}"/>
            </a:ext>
          </a:extLst>
        </xdr:cNvPr>
        <xdr:cNvPicPr>
          <a:picLocks noChangeAspect="1"/>
        </xdr:cNvPicPr>
      </xdr:nvPicPr>
      <xdr:blipFill>
        <a:blip xmlns:r="http://schemas.openxmlformats.org/officeDocument/2006/relationships" r:embed="rId2"/>
        <a:stretch>
          <a:fillRect/>
        </a:stretch>
      </xdr:blipFill>
      <xdr:spPr>
        <a:xfrm>
          <a:off x="16027773" y="13198848"/>
          <a:ext cx="4240342" cy="1724266"/>
        </a:xfrm>
        <a:prstGeom prst="rect">
          <a:avLst/>
        </a:prstGeom>
      </xdr:spPr>
    </xdr:pic>
    <xdr:clientData/>
  </xdr:twoCellAnchor>
  <xdr:twoCellAnchor editAs="oneCell">
    <xdr:from>
      <xdr:col>12</xdr:col>
      <xdr:colOff>11206</xdr:colOff>
      <xdr:row>59</xdr:row>
      <xdr:rowOff>145677</xdr:rowOff>
    </xdr:from>
    <xdr:to>
      <xdr:col>20</xdr:col>
      <xdr:colOff>581851</xdr:colOff>
      <xdr:row>69</xdr:row>
      <xdr:rowOff>41153</xdr:rowOff>
    </xdr:to>
    <xdr:pic>
      <xdr:nvPicPr>
        <xdr:cNvPr id="11" name="Picture 10">
          <a:extLst>
            <a:ext uri="{FF2B5EF4-FFF2-40B4-BE49-F238E27FC236}">
              <a16:creationId xmlns:a16="http://schemas.microsoft.com/office/drawing/2014/main" id="{DEC45A3C-D9E7-0C7F-3207-0C76E457AA8A}"/>
            </a:ext>
          </a:extLst>
        </xdr:cNvPr>
        <xdr:cNvPicPr>
          <a:picLocks noChangeAspect="1"/>
        </xdr:cNvPicPr>
      </xdr:nvPicPr>
      <xdr:blipFill>
        <a:blip xmlns:r="http://schemas.openxmlformats.org/officeDocument/2006/relationships" r:embed="rId3"/>
        <a:stretch>
          <a:fillRect/>
        </a:stretch>
      </xdr:blipFill>
      <xdr:spPr>
        <a:xfrm>
          <a:off x="15878735" y="11385177"/>
          <a:ext cx="5915851" cy="1800476"/>
        </a:xfrm>
        <a:prstGeom prst="rect">
          <a:avLst/>
        </a:prstGeom>
      </xdr:spPr>
    </xdr:pic>
    <xdr:clientData/>
  </xdr:twoCellAnchor>
  <xdr:twoCellAnchor editAs="oneCell">
    <xdr:from>
      <xdr:col>12</xdr:col>
      <xdr:colOff>728383</xdr:colOff>
      <xdr:row>78</xdr:row>
      <xdr:rowOff>67235</xdr:rowOff>
    </xdr:from>
    <xdr:to>
      <xdr:col>18</xdr:col>
      <xdr:colOff>60996</xdr:colOff>
      <xdr:row>82</xdr:row>
      <xdr:rowOff>114973</xdr:rowOff>
    </xdr:to>
    <xdr:pic>
      <xdr:nvPicPr>
        <xdr:cNvPr id="12" name="Picture 11">
          <a:extLst>
            <a:ext uri="{FF2B5EF4-FFF2-40B4-BE49-F238E27FC236}">
              <a16:creationId xmlns:a16="http://schemas.microsoft.com/office/drawing/2014/main" id="{353B5F2C-6625-9341-1036-3BF5A0291CEC}"/>
            </a:ext>
          </a:extLst>
        </xdr:cNvPr>
        <xdr:cNvPicPr>
          <a:picLocks noChangeAspect="1"/>
        </xdr:cNvPicPr>
      </xdr:nvPicPr>
      <xdr:blipFill>
        <a:blip xmlns:r="http://schemas.openxmlformats.org/officeDocument/2006/relationships" r:embed="rId4"/>
        <a:stretch>
          <a:fillRect/>
        </a:stretch>
      </xdr:blipFill>
      <xdr:spPr>
        <a:xfrm>
          <a:off x="16595912" y="14926235"/>
          <a:ext cx="3467584" cy="809738"/>
        </a:xfrm>
        <a:prstGeom prst="rect">
          <a:avLst/>
        </a:prstGeom>
      </xdr:spPr>
    </xdr:pic>
    <xdr:clientData/>
  </xdr:twoCellAnchor>
  <xdr:twoCellAnchor>
    <xdr:from>
      <xdr:col>0</xdr:col>
      <xdr:colOff>47622</xdr:colOff>
      <xdr:row>94</xdr:row>
      <xdr:rowOff>22412</xdr:rowOff>
    </xdr:from>
    <xdr:to>
      <xdr:col>5</xdr:col>
      <xdr:colOff>1266264</xdr:colOff>
      <xdr:row>115</xdr:row>
      <xdr:rowOff>145676</xdr:rowOff>
    </xdr:to>
    <xdr:graphicFrame macro="">
      <xdr:nvGraphicFramePr>
        <xdr:cNvPr id="14" name="Chart 13">
          <a:extLst>
            <a:ext uri="{FF2B5EF4-FFF2-40B4-BE49-F238E27FC236}">
              <a16:creationId xmlns:a16="http://schemas.microsoft.com/office/drawing/2014/main" id="{70C6DD73-A004-86E0-04C2-F880E8610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kesko.fi/contentassets/5a521a7c09e344a9b040bde7e9f1fb9a/kesko_vsk_2012_fin_lr.pdf" TargetMode="External"/><Relationship Id="rId1" Type="http://schemas.openxmlformats.org/officeDocument/2006/relationships/hyperlink" Target="https://www.kesko.fi/contentassets/5a521a7c09e344a9b040bde7e9f1fb9a/kesko_vsk_2012_fin_l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AFAF-5518-453B-B3AC-6E8B319097FF}">
  <dimension ref="A1:AY116"/>
  <sheetViews>
    <sheetView tabSelected="1" topLeftCell="A78" zoomScale="85" zoomScaleNormal="85" workbookViewId="0">
      <selection activeCell="M108" sqref="M108"/>
    </sheetView>
  </sheetViews>
  <sheetFormatPr defaultRowHeight="15" x14ac:dyDescent="0.25"/>
  <cols>
    <col min="1" max="7" width="19.85546875" customWidth="1"/>
    <col min="8" max="8" width="22.85546875" customWidth="1"/>
    <col min="9" max="12" width="19.85546875" customWidth="1"/>
    <col min="13" max="13" width="16.7109375" customWidth="1"/>
  </cols>
  <sheetData>
    <row r="1" spans="1:12" x14ac:dyDescent="0.25">
      <c r="A1" s="39" t="s">
        <v>17</v>
      </c>
      <c r="B1" s="40"/>
      <c r="C1" s="40"/>
      <c r="D1" s="41"/>
      <c r="E1" s="124" t="s">
        <v>24</v>
      </c>
      <c r="F1" s="124"/>
      <c r="G1" s="124"/>
      <c r="H1" s="124"/>
      <c r="I1" s="36"/>
      <c r="J1" s="36"/>
      <c r="K1" s="36"/>
      <c r="L1" s="37"/>
    </row>
    <row r="2" spans="1:12" x14ac:dyDescent="0.25">
      <c r="A2" s="127"/>
      <c r="B2" s="58" t="s">
        <v>33</v>
      </c>
      <c r="C2" s="58" t="s">
        <v>16</v>
      </c>
      <c r="D2" s="131"/>
      <c r="E2" s="42">
        <f>100%-(((1 + H10 * (G10/360)) / (1 + E10 * (D10/360))) - 1) * (360/I10)</f>
        <v>0.99491114760786514</v>
      </c>
      <c r="F2" s="42"/>
      <c r="G2" s="42"/>
      <c r="H2" s="42"/>
      <c r="I2" s="133"/>
      <c r="J2" s="134"/>
      <c r="K2" s="134"/>
      <c r="L2" s="135"/>
    </row>
    <row r="3" spans="1:12" x14ac:dyDescent="0.25">
      <c r="A3" s="127"/>
      <c r="B3" s="59">
        <v>41710</v>
      </c>
      <c r="C3" s="58" t="s">
        <v>10</v>
      </c>
      <c r="D3" s="132"/>
      <c r="E3" s="42"/>
      <c r="F3" s="42"/>
      <c r="G3" s="42"/>
      <c r="H3" s="42"/>
      <c r="I3" s="136"/>
      <c r="J3" s="137"/>
      <c r="K3" s="137"/>
      <c r="L3" s="138"/>
    </row>
    <row r="4" spans="1:12" x14ac:dyDescent="0.25">
      <c r="A4" s="128"/>
      <c r="B4" s="129"/>
      <c r="C4" s="129"/>
      <c r="D4" s="130"/>
      <c r="E4" s="42"/>
      <c r="F4" s="42"/>
      <c r="G4" s="42"/>
      <c r="H4" s="42"/>
      <c r="I4" s="139"/>
      <c r="J4" s="140"/>
      <c r="K4" s="140"/>
      <c r="L4" s="141"/>
    </row>
    <row r="5" spans="1:12" x14ac:dyDescent="0.25">
      <c r="A5" s="145"/>
      <c r="B5" s="63"/>
      <c r="C5" s="63"/>
      <c r="D5" s="63"/>
      <c r="E5" s="63"/>
      <c r="F5" s="63"/>
      <c r="G5" s="63"/>
      <c r="H5" s="63"/>
      <c r="I5" s="63"/>
      <c r="J5" s="63"/>
      <c r="K5" s="63"/>
      <c r="L5" s="142"/>
    </row>
    <row r="6" spans="1:12" x14ac:dyDescent="0.25">
      <c r="A6" s="145"/>
      <c r="B6" s="63"/>
      <c r="C6" s="63"/>
      <c r="D6" s="63"/>
      <c r="E6" s="63"/>
      <c r="F6" s="63"/>
      <c r="G6" s="63"/>
      <c r="H6" s="63"/>
      <c r="I6" s="63"/>
      <c r="J6" s="63"/>
      <c r="K6" s="63"/>
      <c r="L6" s="142"/>
    </row>
    <row r="7" spans="1:12" x14ac:dyDescent="0.25">
      <c r="A7" s="145"/>
      <c r="B7" s="63"/>
      <c r="C7" s="63"/>
      <c r="D7" s="63"/>
      <c r="E7" s="63"/>
      <c r="F7" s="63"/>
      <c r="G7" s="63"/>
      <c r="H7" s="63"/>
      <c r="I7" s="63"/>
      <c r="J7" s="63"/>
      <c r="K7" s="63"/>
      <c r="L7" s="142"/>
    </row>
    <row r="8" spans="1:12" x14ac:dyDescent="0.25">
      <c r="A8" s="145"/>
      <c r="B8" s="63"/>
      <c r="C8" s="63"/>
      <c r="D8" s="63"/>
      <c r="E8" s="63"/>
      <c r="F8" s="63"/>
      <c r="G8" s="63"/>
      <c r="H8" s="63"/>
      <c r="I8" s="63"/>
      <c r="J8" s="63"/>
      <c r="K8" s="63"/>
      <c r="L8" s="142"/>
    </row>
    <row r="9" spans="1:12" x14ac:dyDescent="0.25">
      <c r="A9" s="145"/>
      <c r="B9" s="35" t="s">
        <v>18</v>
      </c>
      <c r="C9" s="36" t="s">
        <v>14</v>
      </c>
      <c r="D9" s="36" t="s">
        <v>20</v>
      </c>
      <c r="E9" s="36" t="s">
        <v>21</v>
      </c>
      <c r="F9" s="36" t="s">
        <v>19</v>
      </c>
      <c r="G9" s="36" t="s">
        <v>22</v>
      </c>
      <c r="H9" s="37" t="s">
        <v>23</v>
      </c>
      <c r="I9" s="38" t="s">
        <v>25</v>
      </c>
      <c r="J9" s="63"/>
      <c r="K9" s="63"/>
      <c r="L9" s="142"/>
    </row>
    <row r="10" spans="1:12" x14ac:dyDescent="0.25">
      <c r="A10" s="145"/>
      <c r="B10" s="23">
        <f>_xlfn.XLOOKUP(C3,Räteterminer!$B$1:$E$1,Räteterminer!$B$2:$E$2)</f>
        <v>41805</v>
      </c>
      <c r="C10" s="24">
        <f>_xlfn.XLOOKUP(C3,Räteterminer!$B$1:$E$1,Räteterminer!$B$3:$E$3)</f>
        <v>2.9499999999999999E-3</v>
      </c>
      <c r="D10" s="14">
        <f>B10-B3</f>
        <v>95</v>
      </c>
      <c r="E10" s="24">
        <f>_xlfn.XLOOKUP(D10, Euribor_360!$A$3:$H$3, Euribor_360!$A$2:$H$2, "not found", -1)</f>
        <v>3.0400000000000002E-3</v>
      </c>
      <c r="F10" s="25">
        <f>_xlfn.MINIFS(Räteterminer!$B$2:$E$2, Räteterminer!$B$2:$E$2, "&gt;" &amp; B10)</f>
        <v>41897</v>
      </c>
      <c r="G10" s="14">
        <f>F10-B3</f>
        <v>187</v>
      </c>
      <c r="H10" s="33">
        <f>_xlfn.XLOOKUP(G10, Euribor_360!$A$3:$H$3, Euribor_360!$A$2:$H$2, "not found", -1)</f>
        <v>4.0499999999999998E-3</v>
      </c>
      <c r="I10" s="34">
        <f>G10-D10</f>
        <v>92</v>
      </c>
      <c r="J10" s="63"/>
      <c r="K10" s="63"/>
      <c r="L10" s="142"/>
    </row>
    <row r="11" spans="1:12" x14ac:dyDescent="0.25">
      <c r="A11" s="146"/>
      <c r="B11" s="147"/>
      <c r="C11" s="147"/>
      <c r="D11" s="147"/>
      <c r="E11" s="147"/>
      <c r="F11" s="147"/>
      <c r="G11" s="147"/>
      <c r="H11" s="147"/>
      <c r="I11" s="147"/>
      <c r="J11" s="143"/>
      <c r="K11" s="143"/>
      <c r="L11" s="144"/>
    </row>
    <row r="12" spans="1:12" x14ac:dyDescent="0.25">
      <c r="A12" s="67"/>
      <c r="B12" s="62"/>
      <c r="C12" s="62"/>
      <c r="D12" s="62"/>
      <c r="E12" s="62"/>
      <c r="F12" s="62"/>
      <c r="G12" s="62"/>
      <c r="H12" s="62"/>
      <c r="I12" s="62"/>
      <c r="J12" s="62"/>
      <c r="K12" s="62"/>
      <c r="L12" s="68"/>
    </row>
    <row r="13" spans="1:12" x14ac:dyDescent="0.25">
      <c r="A13" s="73"/>
      <c r="B13" s="74"/>
      <c r="C13" s="74"/>
      <c r="D13" s="74"/>
      <c r="E13" s="74"/>
      <c r="F13" s="74"/>
      <c r="G13" s="74"/>
      <c r="H13" s="74"/>
      <c r="I13" s="74"/>
      <c r="J13" s="74"/>
      <c r="K13" s="74"/>
      <c r="L13" s="75"/>
    </row>
    <row r="14" spans="1:12" x14ac:dyDescent="0.25">
      <c r="A14" s="50" t="s">
        <v>26</v>
      </c>
      <c r="B14" s="51"/>
      <c r="C14" s="51"/>
      <c r="D14" s="51"/>
      <c r="E14" s="51"/>
      <c r="F14" s="51"/>
      <c r="G14" s="51"/>
      <c r="H14" s="51"/>
      <c r="I14" s="51"/>
      <c r="J14" s="52"/>
      <c r="K14" s="26"/>
      <c r="L14" s="28"/>
    </row>
    <row r="15" spans="1:12" x14ac:dyDescent="0.25">
      <c r="A15" s="53"/>
      <c r="B15" s="54"/>
      <c r="C15" s="54"/>
      <c r="D15" s="54"/>
      <c r="E15" s="54"/>
      <c r="F15" s="54"/>
      <c r="G15" s="54"/>
      <c r="H15" s="54"/>
      <c r="I15" s="51"/>
      <c r="J15" s="55"/>
      <c r="K15" s="29"/>
      <c r="L15" s="31"/>
    </row>
    <row r="16" spans="1:12" x14ac:dyDescent="0.25">
      <c r="A16" s="35" t="s">
        <v>27</v>
      </c>
      <c r="B16" s="35" t="s">
        <v>18</v>
      </c>
      <c r="C16" s="36" t="s">
        <v>14</v>
      </c>
      <c r="D16" s="36" t="s">
        <v>20</v>
      </c>
      <c r="E16" s="36" t="s">
        <v>21</v>
      </c>
      <c r="F16" s="36" t="s">
        <v>19</v>
      </c>
      <c r="G16" s="36" t="s">
        <v>22</v>
      </c>
      <c r="H16" s="36" t="s">
        <v>23</v>
      </c>
      <c r="I16" s="38" t="s">
        <v>25</v>
      </c>
      <c r="J16" s="37" t="s">
        <v>28</v>
      </c>
      <c r="K16" s="47" t="s">
        <v>29</v>
      </c>
      <c r="L16" s="47" t="s">
        <v>30</v>
      </c>
    </row>
    <row r="17" spans="1:12" x14ac:dyDescent="0.25">
      <c r="A17" s="13" t="s">
        <v>10</v>
      </c>
      <c r="B17" s="23">
        <f>_xlfn.XLOOKUP(A17,Räteterminer!$B$1:$E$1,Räteterminer!$B$2:$E$2)</f>
        <v>41805</v>
      </c>
      <c r="C17" s="24">
        <f>_xlfn.XLOOKUP(A17,Räteterminer!$B$1:$E$1,Räteterminer!$B$3:$E$3)</f>
        <v>2.9499999999999999E-3</v>
      </c>
      <c r="D17" s="14">
        <f>B17-$B$3</f>
        <v>95</v>
      </c>
      <c r="E17" s="24">
        <f>_xlfn.XLOOKUP(D17, Euribor_360!$A$3:$H$3, Euribor_360!$A$2:$H$2, "not found", -1)</f>
        <v>3.0400000000000002E-3</v>
      </c>
      <c r="F17" s="25">
        <f>_xlfn.MINIFS(Räteterminer!$B$2:$E$2, Räteterminer!$B$2:$E$2, "&gt;" &amp; B17)</f>
        <v>41897</v>
      </c>
      <c r="G17" s="44">
        <f>F17-$B$3</f>
        <v>187</v>
      </c>
      <c r="H17" s="33">
        <f>_xlfn.XLOOKUP(G17, Euribor_360!$A$3:$H$3, Euribor_360!$A$2:$H$2, "not found", -1)</f>
        <v>4.0499999999999998E-3</v>
      </c>
      <c r="I17" s="46">
        <f>G17-D17</f>
        <v>92</v>
      </c>
      <c r="J17" s="45">
        <f>100%-(((1 + H17 * (G17/360)) / (1 + E17 * (D17/360))) - 1) * (360/I17)</f>
        <v>0.99491114760786514</v>
      </c>
      <c r="K17" s="45">
        <f>100%-C17</f>
        <v>0.99704999999999999</v>
      </c>
      <c r="L17" s="48">
        <f>ABS(K17-J17)</f>
        <v>2.138852392134849E-3</v>
      </c>
    </row>
    <row r="18" spans="1:12" x14ac:dyDescent="0.25">
      <c r="A18" s="35" t="s">
        <v>27</v>
      </c>
      <c r="B18" s="35" t="s">
        <v>18</v>
      </c>
      <c r="C18" s="36" t="s">
        <v>14</v>
      </c>
      <c r="D18" s="36" t="s">
        <v>20</v>
      </c>
      <c r="E18" s="36" t="s">
        <v>21</v>
      </c>
      <c r="F18" s="36" t="s">
        <v>19</v>
      </c>
      <c r="G18" s="36" t="s">
        <v>22</v>
      </c>
      <c r="H18" s="36" t="s">
        <v>23</v>
      </c>
      <c r="I18" s="38" t="s">
        <v>25</v>
      </c>
      <c r="J18" s="37" t="s">
        <v>28</v>
      </c>
      <c r="K18" s="37" t="s">
        <v>29</v>
      </c>
      <c r="L18" s="47" t="s">
        <v>30</v>
      </c>
    </row>
    <row r="19" spans="1:12" x14ac:dyDescent="0.25">
      <c r="A19" s="13" t="s">
        <v>11</v>
      </c>
      <c r="B19" s="23">
        <f>_xlfn.XLOOKUP(A19,Räteterminer!$B$1:$E$1,Räteterminer!$B$2:$E$2)</f>
        <v>41897</v>
      </c>
      <c r="C19" s="24">
        <f>_xlfn.XLOOKUP(A19,Räteterminer!$B$1:$E$1,Räteterminer!$B$3:$E$3)</f>
        <v>2.9499999999999999E-3</v>
      </c>
      <c r="D19" s="14">
        <f>B19-$B$3</f>
        <v>187</v>
      </c>
      <c r="E19" s="24">
        <f>_xlfn.XLOOKUP(D19, Euribor_360!$A$3:$H$3, Euribor_360!$A$2:$H$2, "not found", -1)</f>
        <v>4.0499999999999998E-3</v>
      </c>
      <c r="F19" s="25">
        <f>_xlfn.MINIFS(Räteterminer!$B$2:$E$2, Räteterminer!$B$2:$E$2, "&gt;" &amp; B19)</f>
        <v>41988</v>
      </c>
      <c r="G19" s="44">
        <f>F19-$B$3</f>
        <v>278</v>
      </c>
      <c r="H19" s="33">
        <f>_xlfn.XLOOKUP(G19, Euribor_360!$A$3:$H$3, Euribor_360!$A$2:$H$2, "not found", -1)</f>
        <v>4.8999999999999998E-3</v>
      </c>
      <c r="I19" s="46">
        <f>G19-D19</f>
        <v>91</v>
      </c>
      <c r="J19" s="45">
        <f>100%-(((1 + H19 * (G19/360)) / (1 + E19 * (D19/360))) - 1) * (360/I19)</f>
        <v>0.99336725035037288</v>
      </c>
      <c r="K19" s="45">
        <f>100%-C19</f>
        <v>0.99704999999999999</v>
      </c>
      <c r="L19" s="48">
        <f t="shared" ref="L19" si="0">ABS(K19-J19)</f>
        <v>3.682749649627115E-3</v>
      </c>
    </row>
    <row r="20" spans="1:12" x14ac:dyDescent="0.25">
      <c r="A20" s="35" t="s">
        <v>27</v>
      </c>
      <c r="B20" s="35" t="s">
        <v>18</v>
      </c>
      <c r="C20" s="36" t="s">
        <v>14</v>
      </c>
      <c r="D20" s="36" t="s">
        <v>20</v>
      </c>
      <c r="E20" s="36" t="s">
        <v>21</v>
      </c>
      <c r="F20" s="36" t="s">
        <v>19</v>
      </c>
      <c r="G20" s="36" t="s">
        <v>22</v>
      </c>
      <c r="H20" s="36" t="s">
        <v>23</v>
      </c>
      <c r="I20" s="38" t="s">
        <v>25</v>
      </c>
      <c r="J20" s="37" t="s">
        <v>28</v>
      </c>
      <c r="K20" s="37" t="s">
        <v>29</v>
      </c>
      <c r="L20" s="47" t="s">
        <v>30</v>
      </c>
    </row>
    <row r="21" spans="1:12" x14ac:dyDescent="0.25">
      <c r="A21" s="13" t="s">
        <v>12</v>
      </c>
      <c r="B21" s="23">
        <f>_xlfn.XLOOKUP(A21,Räteterminer!$B$1:$E$1,Räteterminer!$B$2:$E$2)</f>
        <v>41988</v>
      </c>
      <c r="C21" s="24">
        <f>_xlfn.XLOOKUP(A21,Räteterminer!$B$1:$E$1,Räteterminer!$B$3:$E$3)</f>
        <v>3.0999999999999999E-3</v>
      </c>
      <c r="D21" s="14">
        <f>B21-$B$3</f>
        <v>278</v>
      </c>
      <c r="E21" s="24">
        <f>_xlfn.XLOOKUP(D21, Euribor_360!$A$3:$H$3, Euribor_360!$A$2:$H$2, "not found", -1)</f>
        <v>4.8999999999999998E-3</v>
      </c>
      <c r="F21" s="25">
        <f>_xlfn.MINIFS(Räteterminer!$B$2:$E$2, Räteterminer!$B$2:$E$2, "&gt;" &amp; B21)</f>
        <v>42079</v>
      </c>
      <c r="G21" s="44">
        <f>F21-$B$3</f>
        <v>369</v>
      </c>
      <c r="H21" s="33">
        <f>_xlfn.XLOOKUP(G21, Euribor_360!$A$3:$H$3, Euribor_360!$A$2:$H$2, "not found", -1)</f>
        <v>5.7400000000000003E-3</v>
      </c>
      <c r="I21" s="46">
        <f>G21-D21</f>
        <v>91</v>
      </c>
      <c r="J21" s="45">
        <f>100%-(((1 + H21 * (G21/360)) / (1 + E21 * (D21/360))) - 1) * (360/I21)</f>
        <v>0.99172515723942534</v>
      </c>
      <c r="K21" s="45">
        <f>100%-C21</f>
        <v>0.99690000000000001</v>
      </c>
      <c r="L21" s="48">
        <f>ABS(K21-J21)</f>
        <v>5.1748427605746716E-3</v>
      </c>
    </row>
    <row r="22" spans="1:12" x14ac:dyDescent="0.25">
      <c r="A22" s="53" t="s">
        <v>31</v>
      </c>
      <c r="B22" s="54"/>
      <c r="C22" s="54"/>
      <c r="D22" s="54"/>
      <c r="E22" s="54"/>
      <c r="F22" s="54"/>
      <c r="G22" s="54"/>
      <c r="H22" s="54"/>
      <c r="I22" s="54"/>
      <c r="J22" s="54"/>
      <c r="K22" s="54"/>
      <c r="L22" s="55"/>
    </row>
    <row r="23" spans="1:12" x14ac:dyDescent="0.25">
      <c r="A23" s="49" t="s">
        <v>32</v>
      </c>
      <c r="B23" s="27"/>
      <c r="C23" s="27"/>
      <c r="D23" s="27"/>
      <c r="E23" s="27"/>
      <c r="F23" s="27"/>
      <c r="G23" s="27"/>
      <c r="H23" s="27"/>
      <c r="I23" s="27"/>
      <c r="J23" s="27"/>
      <c r="K23" s="27"/>
      <c r="L23" s="28"/>
    </row>
    <row r="24" spans="1:12" x14ac:dyDescent="0.25">
      <c r="A24" s="29"/>
      <c r="B24" s="30"/>
      <c r="C24" s="30"/>
      <c r="D24" s="30"/>
      <c r="E24" s="30"/>
      <c r="F24" s="30"/>
      <c r="G24" s="30"/>
      <c r="H24" s="30"/>
      <c r="I24" s="30"/>
      <c r="J24" s="30"/>
      <c r="K24" s="30"/>
      <c r="L24" s="31"/>
    </row>
    <row r="25" spans="1:12" x14ac:dyDescent="0.25">
      <c r="A25" s="67"/>
      <c r="B25" s="62"/>
      <c r="C25" s="62"/>
      <c r="D25" s="62"/>
      <c r="E25" s="62"/>
      <c r="F25" s="62"/>
      <c r="G25" s="62"/>
      <c r="H25" s="62"/>
      <c r="I25" s="62"/>
      <c r="J25" s="62"/>
      <c r="K25" s="62"/>
      <c r="L25" s="68"/>
    </row>
    <row r="26" spans="1:12" x14ac:dyDescent="0.25">
      <c r="A26" s="69"/>
      <c r="B26" s="56"/>
      <c r="C26" s="56"/>
      <c r="D26" s="56"/>
      <c r="E26" s="56"/>
      <c r="F26" s="56"/>
      <c r="G26" s="56"/>
      <c r="H26" s="56"/>
      <c r="I26" s="56"/>
      <c r="J26" s="56"/>
      <c r="K26" s="56"/>
      <c r="L26" s="70"/>
    </row>
    <row r="27" spans="1:12" x14ac:dyDescent="0.25">
      <c r="A27" s="71" t="s">
        <v>33</v>
      </c>
      <c r="B27" s="26" t="s">
        <v>34</v>
      </c>
      <c r="C27" s="27"/>
      <c r="D27" s="27"/>
      <c r="E27" s="27"/>
      <c r="F27" s="27"/>
      <c r="G27" s="27"/>
      <c r="H27" s="27"/>
      <c r="I27" s="27"/>
      <c r="J27" s="27"/>
      <c r="K27" s="27"/>
      <c r="L27" s="28"/>
    </row>
    <row r="28" spans="1:12" x14ac:dyDescent="0.25">
      <c r="A28" s="72">
        <v>41740</v>
      </c>
      <c r="B28" s="29"/>
      <c r="C28" s="30"/>
      <c r="D28" s="30"/>
      <c r="E28" s="30"/>
      <c r="F28" s="30"/>
      <c r="G28" s="30"/>
      <c r="H28" s="30"/>
      <c r="I28" s="30"/>
      <c r="J28" s="30"/>
      <c r="K28" s="30"/>
      <c r="L28" s="31"/>
    </row>
    <row r="29" spans="1:12" x14ac:dyDescent="0.25">
      <c r="A29" s="35" t="s">
        <v>27</v>
      </c>
      <c r="B29" s="60" t="s">
        <v>18</v>
      </c>
      <c r="C29" s="43" t="s">
        <v>14</v>
      </c>
      <c r="D29" s="43" t="s">
        <v>20</v>
      </c>
      <c r="E29" s="43" t="s">
        <v>21</v>
      </c>
      <c r="F29" s="43" t="s">
        <v>19</v>
      </c>
      <c r="G29" s="43" t="s">
        <v>22</v>
      </c>
      <c r="H29" s="43" t="s">
        <v>23</v>
      </c>
      <c r="I29" s="61" t="s">
        <v>25</v>
      </c>
      <c r="J29" s="47" t="s">
        <v>28</v>
      </c>
      <c r="K29" s="47" t="s">
        <v>29</v>
      </c>
      <c r="L29" s="47" t="s">
        <v>30</v>
      </c>
    </row>
    <row r="30" spans="1:12" x14ac:dyDescent="0.25">
      <c r="A30" s="13" t="s">
        <v>10</v>
      </c>
      <c r="B30" s="23">
        <f>_xlfn.XLOOKUP(A30,Räteterminer!$B$1:$E$1,Räteterminer!$B$2:$E$2)</f>
        <v>41805</v>
      </c>
      <c r="C30" s="24">
        <f>_xlfn.XLOOKUP(A30,Räteterminer!$B$1:$E$1,Räteterminer!$B$3:$E$3)</f>
        <v>2.9499999999999999E-3</v>
      </c>
      <c r="D30" s="14">
        <f>B30-A28</f>
        <v>65</v>
      </c>
      <c r="E30" s="24">
        <f>_xlfn.XLOOKUP(D30, euribor_11_4!$A$3:$H$3, euribor_11_4!$A$2:$H$2, "not found", -1)</f>
        <v>2.8999999999999998E-3</v>
      </c>
      <c r="F30" s="25">
        <f>_xlfn.MINIFS(Räteterminer!$B$2:$E$2, Räteterminer!$B$2:$E$2, "&gt;" &amp; B30)</f>
        <v>41897</v>
      </c>
      <c r="G30" s="44">
        <f>F30-A28</f>
        <v>157</v>
      </c>
      <c r="H30" s="33">
        <f>_xlfn.XLOOKUP(G30, euribor_11_4!$A$3:$H$3, euribor_11_4!$A$2:$H$2, "not found", -1)</f>
        <v>3.2799999999999999E-3</v>
      </c>
      <c r="I30" s="46">
        <f>G30-D30</f>
        <v>92</v>
      </c>
      <c r="J30" s="45">
        <f>100%-(((1 + H30 * (G30/360)) / (1 + E30 * (D30/360))) - 1) * (360/I30)</f>
        <v>0.99645337878940321</v>
      </c>
      <c r="K30" s="45">
        <f>100%-C30</f>
        <v>0.99704999999999999</v>
      </c>
      <c r="L30" s="48">
        <f>ABS(K30-J30)</f>
        <v>5.9662121059678164E-4</v>
      </c>
    </row>
    <row r="31" spans="1:12" x14ac:dyDescent="0.25">
      <c r="A31" s="35" t="s">
        <v>27</v>
      </c>
      <c r="B31" s="35" t="s">
        <v>18</v>
      </c>
      <c r="C31" s="36" t="s">
        <v>14</v>
      </c>
      <c r="D31" s="36" t="s">
        <v>20</v>
      </c>
      <c r="E31" s="36" t="s">
        <v>21</v>
      </c>
      <c r="F31" s="36" t="s">
        <v>19</v>
      </c>
      <c r="G31" s="43" t="s">
        <v>35</v>
      </c>
      <c r="H31" s="36" t="s">
        <v>23</v>
      </c>
      <c r="I31" s="38" t="s">
        <v>25</v>
      </c>
      <c r="J31" s="37" t="s">
        <v>28</v>
      </c>
      <c r="K31" s="37" t="s">
        <v>29</v>
      </c>
      <c r="L31" s="47" t="s">
        <v>30</v>
      </c>
    </row>
    <row r="32" spans="1:12" x14ac:dyDescent="0.25">
      <c r="A32" s="13" t="s">
        <v>11</v>
      </c>
      <c r="B32" s="23">
        <f>_xlfn.XLOOKUP(A32,Räteterminer!$B$1:$E$1,Räteterminer!$B$2:$E$2)</f>
        <v>41897</v>
      </c>
      <c r="C32" s="24">
        <f>_xlfn.XLOOKUP(A32,Räteterminer!$B$1:$E$1,Räteterminer!$B$3:$E$3)</f>
        <v>2.9499999999999999E-3</v>
      </c>
      <c r="D32" s="14">
        <f>B32-A28</f>
        <v>157</v>
      </c>
      <c r="E32" s="24">
        <f>_xlfn.XLOOKUP(D32, euribor_11_4!$A$3:$H$3, euribor_11_4!$A$2:$H$2, "not found", -1)</f>
        <v>3.2799999999999999E-3</v>
      </c>
      <c r="F32" s="25">
        <f>_xlfn.MINIFS(Räteterminer!$B$2:$E$2, Räteterminer!$B$2:$E$2, "&gt;" &amp; B32)</f>
        <v>41988</v>
      </c>
      <c r="G32" s="44">
        <f>F32-A28</f>
        <v>248</v>
      </c>
      <c r="H32" s="33">
        <f>_xlfn.XLOOKUP(G32, euribor_11_4!$A$3:$H$3, euribor_11_4!$A$2:$H$2, "not found", -1)</f>
        <v>4.28E-3</v>
      </c>
      <c r="I32" s="46">
        <f>G32-D32</f>
        <v>91</v>
      </c>
      <c r="J32" s="45">
        <f>100%-(((1 + H32 * (G32/360)) / (1 + E32 * (D32/360))) - 1) * (360/I32)</f>
        <v>0.99400330321632402</v>
      </c>
      <c r="K32" s="45">
        <f>100%-C32</f>
        <v>0.99704999999999999</v>
      </c>
      <c r="L32" s="48">
        <f t="shared" ref="L32" si="1">ABS(K32-J32)</f>
        <v>3.0466967836759729E-3</v>
      </c>
    </row>
    <row r="33" spans="1:51" x14ac:dyDescent="0.25">
      <c r="A33" s="35" t="s">
        <v>27</v>
      </c>
      <c r="B33" s="35" t="s">
        <v>18</v>
      </c>
      <c r="C33" s="36" t="s">
        <v>14</v>
      </c>
      <c r="D33" s="36" t="s">
        <v>20</v>
      </c>
      <c r="E33" s="36" t="s">
        <v>21</v>
      </c>
      <c r="F33" s="36" t="s">
        <v>19</v>
      </c>
      <c r="G33" s="43" t="s">
        <v>36</v>
      </c>
      <c r="H33" s="36" t="s">
        <v>23</v>
      </c>
      <c r="I33" s="38" t="s">
        <v>25</v>
      </c>
      <c r="J33" s="37" t="s">
        <v>28</v>
      </c>
      <c r="K33" s="37" t="s">
        <v>29</v>
      </c>
      <c r="L33" s="47" t="s">
        <v>30</v>
      </c>
    </row>
    <row r="34" spans="1:51" x14ac:dyDescent="0.25">
      <c r="A34" s="13" t="s">
        <v>12</v>
      </c>
      <c r="B34" s="23">
        <f>_xlfn.XLOOKUP(A34,Räteterminer!$B$1:$E$1,Räteterminer!$B$2:$E$2)</f>
        <v>41988</v>
      </c>
      <c r="C34" s="24">
        <f>_xlfn.XLOOKUP(A34,Räteterminer!$B$1:$E$1,Räteterminer!$B$3:$E$3)</f>
        <v>3.0999999999999999E-3</v>
      </c>
      <c r="D34" s="14">
        <f>B34-A28</f>
        <v>248</v>
      </c>
      <c r="E34" s="24">
        <f>_xlfn.XLOOKUP(D34, euribor_11_4!$A$3:$H$3, euribor_11_4!$A$2:$H$2, "not found", -1)</f>
        <v>4.28E-3</v>
      </c>
      <c r="F34" s="25">
        <f>_xlfn.MINIFS(Räteterminer!$B$2:$E$2, Räteterminer!$B$2:$E$2, "&gt;" &amp; B34)</f>
        <v>42079</v>
      </c>
      <c r="G34" s="44">
        <f>F34-A28</f>
        <v>339</v>
      </c>
      <c r="H34" s="33">
        <f>_xlfn.XLOOKUP(G34, euribor_11_4!$A$3:$H$3,euribor_11_4!$A$2:$H$2, "not found", -1)</f>
        <v>5.11E-3</v>
      </c>
      <c r="I34" s="46">
        <f>G34-D34</f>
        <v>91</v>
      </c>
      <c r="J34" s="45">
        <f>100%-(((1 + H34 * (G34/360)) / (1 + E34 * (D34/360))) - 1) * (360/I34)</f>
        <v>0.99264969394706881</v>
      </c>
      <c r="K34" s="45">
        <f>100%-C34</f>
        <v>0.99690000000000001</v>
      </c>
      <c r="L34" s="33">
        <f>ABS(K34-J34)</f>
        <v>4.2503060529311965E-3</v>
      </c>
    </row>
    <row r="35" spans="1:51" x14ac:dyDescent="0.25">
      <c r="A35" s="67"/>
      <c r="B35" s="62"/>
      <c r="C35" s="62"/>
      <c r="D35" s="62"/>
      <c r="E35" s="62"/>
      <c r="F35" s="62"/>
      <c r="G35" s="62"/>
      <c r="H35" s="62"/>
      <c r="I35" s="62"/>
      <c r="J35" s="62"/>
      <c r="K35" s="62"/>
      <c r="L35" s="68"/>
    </row>
    <row r="36" spans="1:51" x14ac:dyDescent="0.25">
      <c r="A36" s="69"/>
      <c r="B36" s="56"/>
      <c r="C36" s="56"/>
      <c r="D36" s="56"/>
      <c r="E36" s="56"/>
      <c r="F36" s="56"/>
      <c r="G36" s="56"/>
      <c r="H36" s="56"/>
      <c r="I36" s="56"/>
      <c r="J36" s="56"/>
      <c r="K36" s="56"/>
      <c r="L36" s="70"/>
    </row>
    <row r="37" spans="1:51" ht="15" customHeight="1" x14ac:dyDescent="0.25">
      <c r="A37" s="79" t="s">
        <v>38</v>
      </c>
      <c r="B37" s="81" t="s">
        <v>37</v>
      </c>
      <c r="C37" s="82"/>
      <c r="D37" s="82"/>
      <c r="E37" s="82"/>
      <c r="F37" s="82"/>
      <c r="G37" s="82"/>
      <c r="H37" s="82"/>
      <c r="I37" s="82"/>
      <c r="J37" s="82"/>
      <c r="K37" s="82"/>
      <c r="L37" s="83"/>
    </row>
    <row r="38" spans="1:51" x14ac:dyDescent="0.25">
      <c r="A38" s="80">
        <v>2000000</v>
      </c>
      <c r="B38" s="84"/>
      <c r="C38" s="85"/>
      <c r="D38" s="85"/>
      <c r="E38" s="85"/>
      <c r="F38" s="85"/>
      <c r="G38" s="85"/>
      <c r="H38" s="85"/>
      <c r="I38" s="85"/>
      <c r="J38" s="85"/>
      <c r="K38" s="85"/>
      <c r="L38" s="86"/>
    </row>
    <row r="39" spans="1:51" ht="15" customHeight="1" x14ac:dyDescent="0.25">
      <c r="A39" s="7" t="s">
        <v>39</v>
      </c>
      <c r="B39" s="8"/>
      <c r="C39" s="8" t="s">
        <v>40</v>
      </c>
      <c r="D39" s="8"/>
      <c r="E39" s="82" t="s">
        <v>41</v>
      </c>
      <c r="F39" s="82"/>
      <c r="G39" s="82" t="s">
        <v>42</v>
      </c>
      <c r="H39" s="82"/>
      <c r="I39" s="8" t="s">
        <v>43</v>
      </c>
      <c r="J39" s="9"/>
      <c r="K39" s="8"/>
      <c r="L39" s="9"/>
    </row>
    <row r="40" spans="1:51" x14ac:dyDescent="0.25">
      <c r="A40" s="89">
        <v>3.0000000000000001E-3</v>
      </c>
      <c r="B40" s="90"/>
      <c r="C40" s="91">
        <f t="shared" ref="C40" si="2">$A$38*A40*($I$19/360)</f>
        <v>1516.6666666666665</v>
      </c>
      <c r="D40" s="91"/>
      <c r="E40" s="92">
        <f>($A$38*(A40-$A$42)*($I$19/360))/(1+A40*($I$19/360))</f>
        <v>-1835.1651004436535</v>
      </c>
      <c r="F40" s="92"/>
      <c r="G40" s="92">
        <f>E40*(1+A40*($I$19/360))</f>
        <v>-1836.5567673114901</v>
      </c>
      <c r="H40" s="92"/>
      <c r="I40" s="92">
        <f>C40-G40</f>
        <v>3353.2234339781567</v>
      </c>
      <c r="J40" s="148"/>
      <c r="K40" s="27"/>
      <c r="L40" s="28"/>
    </row>
    <row r="41" spans="1:51" x14ac:dyDescent="0.25">
      <c r="A41" s="89">
        <v>5.0000000000000001E-3</v>
      </c>
      <c r="B41" s="90"/>
      <c r="C41" s="91">
        <f t="shared" ref="C41:C44" si="3">$A$38*A41*($I$19/360)</f>
        <v>2527.7777777777778</v>
      </c>
      <c r="D41" s="91"/>
      <c r="E41" s="92">
        <f t="shared" ref="E41:E44" si="4">($A$38*(A41-$A$42)*($I$19/360))/(1+A41*($I$19/360))</f>
        <v>-824.40370152206617</v>
      </c>
      <c r="F41" s="92"/>
      <c r="G41" s="92">
        <f t="shared" ref="G41" si="5">E41*(1+A41*($I$19/360))</f>
        <v>-825.44565620037883</v>
      </c>
      <c r="H41" s="92"/>
      <c r="I41" s="92">
        <f t="shared" ref="I41:I44" si="6">C41-G41</f>
        <v>3353.2234339781567</v>
      </c>
      <c r="J41" s="148"/>
      <c r="K41" s="27"/>
      <c r="L41" s="28"/>
      <c r="T41" s="6" t="e" vm="1">
        <v>#VALUE!</v>
      </c>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row>
    <row r="42" spans="1:51" x14ac:dyDescent="0.25">
      <c r="A42" s="89">
        <f>100%-J19</f>
        <v>6.6327496496271232E-3</v>
      </c>
      <c r="B42" s="90"/>
      <c r="C42" s="91">
        <f t="shared" si="3"/>
        <v>3353.2234339781567</v>
      </c>
      <c r="D42" s="91"/>
      <c r="E42" s="92">
        <f t="shared" si="4"/>
        <v>0</v>
      </c>
      <c r="F42" s="92"/>
      <c r="G42" s="92">
        <f t="shared" ref="G42:G44" si="7">E42*(1+A42*($I$19/360))</f>
        <v>0</v>
      </c>
      <c r="H42" s="92"/>
      <c r="I42" s="92">
        <f t="shared" si="6"/>
        <v>3353.2234339781567</v>
      </c>
      <c r="J42" s="148"/>
      <c r="K42" s="27"/>
      <c r="L42" s="28"/>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row>
    <row r="43" spans="1:51" x14ac:dyDescent="0.25">
      <c r="A43" s="89">
        <v>0.01</v>
      </c>
      <c r="B43" s="90"/>
      <c r="C43" s="91">
        <f t="shared" si="3"/>
        <v>5055.5555555555557</v>
      </c>
      <c r="D43" s="91"/>
      <c r="E43" s="92">
        <f t="shared" si="4"/>
        <v>1698.0398541682516</v>
      </c>
      <c r="F43" s="92"/>
      <c r="G43" s="92">
        <f t="shared" si="7"/>
        <v>1702.332121577399</v>
      </c>
      <c r="H43" s="92"/>
      <c r="I43" s="92">
        <f t="shared" si="6"/>
        <v>3353.2234339781567</v>
      </c>
      <c r="J43" s="148"/>
      <c r="K43" s="27"/>
      <c r="L43" s="28"/>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row>
    <row r="44" spans="1:51" x14ac:dyDescent="0.25">
      <c r="A44" s="149">
        <v>1.2E-2</v>
      </c>
      <c r="B44" s="150"/>
      <c r="C44" s="151">
        <f t="shared" si="3"/>
        <v>6066.6666666666661</v>
      </c>
      <c r="D44" s="151"/>
      <c r="E44" s="152">
        <f t="shared" si="4"/>
        <v>2705.237346072091</v>
      </c>
      <c r="F44" s="152"/>
      <c r="G44" s="152">
        <f t="shared" si="7"/>
        <v>2713.4432326885099</v>
      </c>
      <c r="H44" s="152"/>
      <c r="I44" s="152">
        <f t="shared" si="6"/>
        <v>3353.2234339781562</v>
      </c>
      <c r="J44" s="153"/>
      <c r="K44" s="27"/>
      <c r="L44" s="28"/>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row>
    <row r="45" spans="1:51" x14ac:dyDescent="0.25">
      <c r="A45" s="10"/>
      <c r="B45" s="11"/>
      <c r="C45" s="91"/>
      <c r="D45" s="91"/>
      <c r="E45" s="11"/>
      <c r="F45" s="11"/>
      <c r="G45" s="11"/>
      <c r="H45" s="11"/>
      <c r="I45" s="92"/>
      <c r="J45" s="92"/>
      <c r="K45" s="27"/>
      <c r="L45" s="28"/>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row>
    <row r="46" spans="1:51" x14ac:dyDescent="0.25">
      <c r="A46" s="10"/>
      <c r="B46" s="11"/>
      <c r="C46" s="11"/>
      <c r="D46" s="11"/>
      <c r="E46" s="11"/>
      <c r="F46" s="11"/>
      <c r="G46" s="11"/>
      <c r="H46" s="11"/>
      <c r="I46" s="11"/>
      <c r="J46" s="11"/>
      <c r="K46" s="27"/>
      <c r="L46" s="28"/>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row>
    <row r="47" spans="1:51" x14ac:dyDescent="0.25">
      <c r="A47" s="10"/>
      <c r="B47" s="11"/>
      <c r="C47" s="11"/>
      <c r="D47" s="11"/>
      <c r="E47" s="11"/>
      <c r="F47" s="11"/>
      <c r="G47" s="11"/>
      <c r="H47" s="11"/>
      <c r="I47" s="11"/>
      <c r="J47" s="11"/>
      <c r="K47" s="27"/>
      <c r="L47" s="28"/>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row>
    <row r="48" spans="1:51" x14ac:dyDescent="0.25">
      <c r="A48" s="10"/>
      <c r="B48" s="11"/>
      <c r="C48" s="11"/>
      <c r="D48" s="11"/>
      <c r="E48" s="11"/>
      <c r="F48" s="11"/>
      <c r="G48" s="11"/>
      <c r="H48" s="11"/>
      <c r="I48" s="11"/>
      <c r="J48" s="11"/>
      <c r="K48" s="27"/>
      <c r="L48" s="28"/>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row>
    <row r="49" spans="1:51" x14ac:dyDescent="0.25">
      <c r="A49" s="10"/>
      <c r="B49" s="11"/>
      <c r="C49" s="11"/>
      <c r="D49" s="11"/>
      <c r="E49" s="11"/>
      <c r="F49" s="11"/>
      <c r="G49" s="11"/>
      <c r="H49" s="11"/>
      <c r="I49" s="11"/>
      <c r="J49" s="11"/>
      <c r="K49" s="27"/>
      <c r="L49" s="28"/>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row>
    <row r="50" spans="1:51" x14ac:dyDescent="0.25">
      <c r="A50" s="10"/>
      <c r="B50" s="11"/>
      <c r="C50" s="11"/>
      <c r="D50" s="11"/>
      <c r="E50" s="11"/>
      <c r="F50" s="11"/>
      <c r="G50" s="11"/>
      <c r="H50" s="11"/>
      <c r="I50" s="11"/>
      <c r="J50" s="11"/>
      <c r="K50" s="27"/>
      <c r="L50" s="28"/>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row>
    <row r="51" spans="1:51" x14ac:dyDescent="0.25">
      <c r="A51" s="10"/>
      <c r="B51" s="11"/>
      <c r="C51" s="11"/>
      <c r="D51" s="11"/>
      <c r="E51" s="11"/>
      <c r="F51" s="11"/>
      <c r="G51" s="11"/>
      <c r="H51" s="11"/>
      <c r="I51" s="11"/>
      <c r="J51" s="11"/>
      <c r="K51" s="27"/>
      <c r="L51" s="28"/>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row>
    <row r="52" spans="1:51" x14ac:dyDescent="0.25">
      <c r="A52" s="10"/>
      <c r="B52" s="11"/>
      <c r="C52" s="11"/>
      <c r="D52" s="11"/>
      <c r="E52" s="11"/>
      <c r="F52" s="11"/>
      <c r="G52" s="11"/>
      <c r="H52" s="11"/>
      <c r="I52" s="11"/>
      <c r="J52" s="11"/>
      <c r="K52" s="27"/>
      <c r="L52" s="28"/>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row>
    <row r="53" spans="1:51" x14ac:dyDescent="0.25">
      <c r="A53" s="10"/>
      <c r="B53" s="11"/>
      <c r="C53" s="11"/>
      <c r="D53" s="11"/>
      <c r="E53" s="11"/>
      <c r="F53" s="11"/>
      <c r="G53" s="11"/>
      <c r="H53" s="11"/>
      <c r="I53" s="11"/>
      <c r="J53" s="11"/>
      <c r="K53" s="27"/>
      <c r="L53" s="28"/>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row>
    <row r="54" spans="1:51" x14ac:dyDescent="0.25">
      <c r="A54" s="10"/>
      <c r="B54" s="11"/>
      <c r="C54" s="11"/>
      <c r="D54" s="11"/>
      <c r="E54" s="11"/>
      <c r="F54" s="11"/>
      <c r="G54" s="11"/>
      <c r="H54" s="11"/>
      <c r="I54" s="11"/>
      <c r="J54" s="11"/>
      <c r="K54" s="27"/>
      <c r="L54" s="28"/>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row>
    <row r="55" spans="1:51" x14ac:dyDescent="0.25">
      <c r="A55" s="10"/>
      <c r="B55" s="11"/>
      <c r="C55" s="11"/>
      <c r="D55" s="11"/>
      <c r="E55" s="11"/>
      <c r="F55" s="11"/>
      <c r="G55" s="11"/>
      <c r="H55" s="11"/>
      <c r="I55" s="11"/>
      <c r="J55" s="11"/>
      <c r="K55" s="27"/>
      <c r="L55" s="28"/>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row>
    <row r="56" spans="1:51" x14ac:dyDescent="0.25">
      <c r="A56" s="10"/>
      <c r="B56" s="11"/>
      <c r="C56" s="11"/>
      <c r="D56" s="11"/>
      <c r="E56" s="11"/>
      <c r="F56" s="11"/>
      <c r="G56" s="11"/>
      <c r="H56" s="11"/>
      <c r="I56" s="11"/>
      <c r="J56" s="11"/>
      <c r="K56" s="27"/>
      <c r="L56" s="28"/>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row>
    <row r="57" spans="1:51" x14ac:dyDescent="0.25">
      <c r="A57" s="10"/>
      <c r="B57" s="11"/>
      <c r="C57" s="11"/>
      <c r="D57" s="11"/>
      <c r="E57" s="11"/>
      <c r="F57" s="11"/>
      <c r="G57" s="11"/>
      <c r="H57" s="11"/>
      <c r="I57" s="11"/>
      <c r="J57" s="11"/>
      <c r="K57" s="27"/>
      <c r="L57" s="28"/>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row>
    <row r="58" spans="1:51" x14ac:dyDescent="0.25">
      <c r="A58" s="10"/>
      <c r="B58" s="11"/>
      <c r="C58" s="11"/>
      <c r="D58" s="11"/>
      <c r="E58" s="11"/>
      <c r="F58" s="11"/>
      <c r="G58" s="11"/>
      <c r="H58" s="11"/>
      <c r="I58" s="11"/>
      <c r="J58" s="11"/>
      <c r="K58" s="27"/>
      <c r="L58" s="28"/>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row>
    <row r="59" spans="1:51" x14ac:dyDescent="0.25">
      <c r="A59" s="10"/>
      <c r="B59" s="11"/>
      <c r="C59" s="11"/>
      <c r="D59" s="11"/>
      <c r="E59" s="11"/>
      <c r="F59" s="11"/>
      <c r="G59" s="11"/>
      <c r="H59" s="11"/>
      <c r="I59" s="11"/>
      <c r="J59" s="11"/>
      <c r="K59" s="27"/>
      <c r="L59" s="28"/>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row>
    <row r="60" spans="1:51" x14ac:dyDescent="0.25">
      <c r="A60" s="10"/>
      <c r="B60" s="11"/>
      <c r="C60" s="11"/>
      <c r="D60" s="11"/>
      <c r="E60" s="11"/>
      <c r="F60" s="11"/>
      <c r="G60" s="11"/>
      <c r="H60" s="11"/>
      <c r="I60" s="11"/>
      <c r="J60" s="11"/>
      <c r="K60" s="27"/>
      <c r="L60" s="28"/>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row>
    <row r="61" spans="1:51" x14ac:dyDescent="0.25">
      <c r="A61" s="10"/>
      <c r="B61" s="11"/>
      <c r="C61" s="11"/>
      <c r="D61" s="11"/>
      <c r="E61" s="11"/>
      <c r="F61" s="11"/>
      <c r="G61" s="11"/>
      <c r="H61" s="11"/>
      <c r="I61" s="11"/>
      <c r="J61" s="11"/>
      <c r="K61" s="27"/>
      <c r="L61" s="28"/>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row>
    <row r="62" spans="1:51" x14ac:dyDescent="0.25">
      <c r="A62" s="13"/>
      <c r="B62" s="14"/>
      <c r="C62" s="14"/>
      <c r="D62" s="14"/>
      <c r="E62" s="14"/>
      <c r="F62" s="14"/>
      <c r="G62" s="14"/>
      <c r="H62" s="14"/>
      <c r="I62" s="14"/>
      <c r="J62" s="14"/>
      <c r="K62" s="30"/>
      <c r="L62" s="31"/>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row>
    <row r="63" spans="1:51" x14ac:dyDescent="0.25">
      <c r="A63" s="76"/>
      <c r="B63" s="77"/>
      <c r="C63" s="77"/>
      <c r="D63" s="77"/>
      <c r="E63" s="77"/>
      <c r="F63" s="77"/>
      <c r="G63" s="77"/>
      <c r="H63" s="77"/>
      <c r="I63" s="77"/>
      <c r="J63" s="77"/>
      <c r="K63" s="77"/>
      <c r="L63" s="78"/>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row>
    <row r="64" spans="1:51" x14ac:dyDescent="0.25">
      <c r="A64" s="103"/>
      <c r="B64" s="104"/>
      <c r="C64" s="104"/>
      <c r="D64" s="104"/>
      <c r="E64" s="104"/>
      <c r="F64" s="104"/>
      <c r="G64" s="104"/>
      <c r="H64" s="104"/>
      <c r="I64" s="104"/>
      <c r="J64" s="104"/>
      <c r="K64" s="104"/>
      <c r="L64" s="105"/>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row>
    <row r="65" spans="1:51" ht="15" customHeight="1" x14ac:dyDescent="0.25">
      <c r="A65" s="81" t="s">
        <v>44</v>
      </c>
      <c r="B65" s="93"/>
      <c r="C65" s="93"/>
      <c r="D65" s="93"/>
      <c r="E65" s="93"/>
      <c r="F65" s="93"/>
      <c r="G65" s="93"/>
      <c r="H65" s="93"/>
      <c r="I65" s="93"/>
      <c r="J65" s="93"/>
      <c r="K65" s="93"/>
      <c r="L65" s="95"/>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row>
    <row r="66" spans="1:51" x14ac:dyDescent="0.25">
      <c r="A66" s="96"/>
      <c r="B66" s="94"/>
      <c r="C66" s="94"/>
      <c r="D66" s="94"/>
      <c r="E66" s="94"/>
      <c r="F66" s="94"/>
      <c r="G66" s="94"/>
      <c r="H66" s="94"/>
      <c r="I66" s="94"/>
      <c r="J66" s="94"/>
      <c r="K66" s="94"/>
      <c r="L66" s="97"/>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row>
    <row r="67" spans="1:51" x14ac:dyDescent="0.25">
      <c r="A67" s="96"/>
      <c r="B67" s="94"/>
      <c r="C67" s="94"/>
      <c r="D67" s="94"/>
      <c r="E67" s="94"/>
      <c r="F67" s="94"/>
      <c r="G67" s="94"/>
      <c r="H67" s="94"/>
      <c r="I67" s="94"/>
      <c r="J67" s="94"/>
      <c r="K67" s="94"/>
      <c r="L67" s="97"/>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row>
    <row r="68" spans="1:51" x14ac:dyDescent="0.25">
      <c r="A68" s="98"/>
      <c r="B68" s="99"/>
      <c r="C68" s="99"/>
      <c r="D68" s="99"/>
      <c r="E68" s="99"/>
      <c r="F68" s="99"/>
      <c r="G68" s="99"/>
      <c r="H68" s="99"/>
      <c r="I68" s="99"/>
      <c r="J68" s="99"/>
      <c r="K68" s="99"/>
      <c r="L68" s="100"/>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row>
    <row r="69" spans="1:51" x14ac:dyDescent="0.25">
      <c r="A69" s="7" t="s">
        <v>45</v>
      </c>
      <c r="B69" s="8"/>
      <c r="C69" s="82" t="s">
        <v>47</v>
      </c>
      <c r="D69" s="82"/>
      <c r="E69" s="82"/>
      <c r="F69" s="82"/>
      <c r="G69" s="82"/>
      <c r="H69" s="82"/>
      <c r="I69" s="82"/>
      <c r="J69" s="82"/>
      <c r="K69" s="82"/>
      <c r="L69" s="83"/>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row>
    <row r="70" spans="1:51" x14ac:dyDescent="0.25">
      <c r="A70" s="101" t="s">
        <v>46</v>
      </c>
      <c r="B70" s="102"/>
      <c r="C70" s="85"/>
      <c r="D70" s="85"/>
      <c r="E70" s="85"/>
      <c r="F70" s="85"/>
      <c r="G70" s="85"/>
      <c r="H70" s="85"/>
      <c r="I70" s="85"/>
      <c r="J70" s="85"/>
      <c r="K70" s="85"/>
      <c r="L70" s="8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row>
    <row r="71" spans="1:51" x14ac:dyDescent="0.25">
      <c r="A71" s="76"/>
      <c r="B71" s="77"/>
      <c r="C71" s="77"/>
      <c r="D71" s="77"/>
      <c r="E71" s="77"/>
      <c r="F71" s="77"/>
      <c r="G71" s="77"/>
      <c r="H71" s="77"/>
      <c r="I71" s="77"/>
      <c r="J71" s="77"/>
      <c r="K71" s="77"/>
      <c r="L71" s="78"/>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row>
    <row r="72" spans="1:51" x14ac:dyDescent="0.25">
      <c r="A72" s="103"/>
      <c r="B72" s="104"/>
      <c r="C72" s="104"/>
      <c r="D72" s="104"/>
      <c r="E72" s="104"/>
      <c r="F72" s="104"/>
      <c r="G72" s="104"/>
      <c r="H72" s="104"/>
      <c r="I72" s="104"/>
      <c r="J72" s="104"/>
      <c r="K72" s="104"/>
      <c r="L72" s="105"/>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row>
    <row r="73" spans="1:51" x14ac:dyDescent="0.25">
      <c r="A73" s="119" t="s">
        <v>48</v>
      </c>
      <c r="B73" s="125"/>
      <c r="C73" s="125"/>
      <c r="D73" s="125"/>
      <c r="E73" s="125"/>
      <c r="F73" s="125"/>
      <c r="G73" s="125"/>
      <c r="H73" s="125"/>
      <c r="I73" s="125"/>
      <c r="J73" s="125"/>
      <c r="K73" s="125"/>
      <c r="L73" s="12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row>
    <row r="74" spans="1:51" x14ac:dyDescent="0.25">
      <c r="A74" s="50"/>
      <c r="B74" s="51"/>
      <c r="C74" s="51"/>
      <c r="D74" s="51"/>
      <c r="E74" s="51"/>
      <c r="F74" s="51"/>
      <c r="G74" s="51"/>
      <c r="H74" s="51"/>
      <c r="I74" s="51"/>
      <c r="J74" s="51"/>
      <c r="K74" s="51"/>
      <c r="L74" s="52"/>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row>
    <row r="75" spans="1:51" ht="15.75" thickBot="1" x14ac:dyDescent="0.3">
      <c r="A75" s="20" t="s">
        <v>33</v>
      </c>
      <c r="B75" s="21" t="s">
        <v>61</v>
      </c>
      <c r="C75" s="21" t="s">
        <v>50</v>
      </c>
      <c r="D75" s="21" t="s">
        <v>51</v>
      </c>
      <c r="E75" s="21" t="s">
        <v>52</v>
      </c>
      <c r="F75" s="21" t="s">
        <v>53</v>
      </c>
      <c r="G75" s="87" t="s">
        <v>54</v>
      </c>
      <c r="H75" s="87" t="s">
        <v>10</v>
      </c>
      <c r="I75" s="87" t="s">
        <v>55</v>
      </c>
      <c r="J75" s="87" t="s">
        <v>56</v>
      </c>
      <c r="K75" s="87" t="s">
        <v>58</v>
      </c>
      <c r="L75" s="106" t="s">
        <v>59</v>
      </c>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row>
    <row r="76" spans="1:51" x14ac:dyDescent="0.25">
      <c r="A76" s="23">
        <v>43565</v>
      </c>
      <c r="B76" s="14">
        <v>167.64</v>
      </c>
      <c r="C76" s="14">
        <v>4.9000000000000004</v>
      </c>
      <c r="D76" s="25">
        <v>43594</v>
      </c>
      <c r="E76" s="14">
        <v>4.8499999999999996</v>
      </c>
      <c r="F76" s="25">
        <v>43781</v>
      </c>
      <c r="G76" s="108">
        <v>43572</v>
      </c>
      <c r="H76" s="108">
        <v>43636</v>
      </c>
      <c r="I76" s="107">
        <f>G76-A76</f>
        <v>7</v>
      </c>
      <c r="J76" s="107">
        <f>H76-A76</f>
        <v>71</v>
      </c>
      <c r="K76" s="111">
        <v>-3.7799999999999999E-3</v>
      </c>
      <c r="L76" s="112">
        <v>-3.0999999999999999E-3</v>
      </c>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row>
    <row r="77" spans="1:51" x14ac:dyDescent="0.25">
      <c r="A77" s="158" t="s">
        <v>57</v>
      </c>
      <c r="B77" s="123">
        <f>B76*(1+(K76*(I76/360)))</f>
        <v>167.62767846</v>
      </c>
      <c r="C77" s="159" t="s">
        <v>60</v>
      </c>
      <c r="D77" s="123">
        <f>B76*(1+(L76*(J76/360)))-C76</f>
        <v>162.63750676666663</v>
      </c>
      <c r="E77" s="16"/>
      <c r="F77" s="16"/>
      <c r="G77" s="16"/>
      <c r="H77" s="16"/>
      <c r="I77" s="16"/>
      <c r="J77" s="16"/>
      <c r="K77" s="16"/>
      <c r="L77" s="17"/>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row>
    <row r="78" spans="1:51" x14ac:dyDescent="0.25">
      <c r="A78" s="121"/>
      <c r="B78" s="20"/>
      <c r="C78" s="21"/>
      <c r="D78" s="21"/>
      <c r="E78" s="22"/>
      <c r="F78" s="119" t="s">
        <v>65</v>
      </c>
      <c r="G78" s="8"/>
      <c r="H78" s="8"/>
      <c r="I78" s="8"/>
      <c r="J78" s="8"/>
      <c r="K78" s="8"/>
      <c r="L78" s="9"/>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row>
    <row r="79" spans="1:51" x14ac:dyDescent="0.25">
      <c r="A79" s="57"/>
      <c r="B79" s="10" t="s">
        <v>8</v>
      </c>
      <c r="C79" s="11" t="s">
        <v>63</v>
      </c>
      <c r="D79" s="11" t="s">
        <v>64</v>
      </c>
      <c r="E79" s="12" t="s">
        <v>30</v>
      </c>
      <c r="F79" s="26"/>
      <c r="G79" s="27"/>
      <c r="H79" s="27"/>
      <c r="I79" s="27"/>
      <c r="J79" s="27"/>
      <c r="K79" s="27"/>
      <c r="L79" s="28"/>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row>
    <row r="80" spans="1:51" x14ac:dyDescent="0.25">
      <c r="A80" s="57"/>
      <c r="B80" s="10" t="s">
        <v>62</v>
      </c>
      <c r="C80" s="113">
        <f>B77</f>
        <v>167.62767846</v>
      </c>
      <c r="D80" s="114">
        <v>163.85</v>
      </c>
      <c r="E80" s="115">
        <f>C80-D80</f>
        <v>3.7776784600000042</v>
      </c>
      <c r="F80" s="88" t="s">
        <v>76</v>
      </c>
      <c r="G80" s="88"/>
      <c r="H80" s="88"/>
      <c r="I80" s="88"/>
      <c r="J80" s="88"/>
      <c r="K80" s="88"/>
      <c r="L80" s="120"/>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row>
    <row r="81" spans="1:51" x14ac:dyDescent="0.25">
      <c r="A81" s="57"/>
      <c r="B81" s="13" t="s">
        <v>10</v>
      </c>
      <c r="C81" s="116">
        <f>D77</f>
        <v>162.63750676666663</v>
      </c>
      <c r="D81" s="117">
        <v>159.03</v>
      </c>
      <c r="E81" s="118">
        <f>C81-D81</f>
        <v>3.6075067666666314</v>
      </c>
      <c r="F81" s="88"/>
      <c r="G81" s="88"/>
      <c r="H81" s="88"/>
      <c r="I81" s="88"/>
      <c r="J81" s="88"/>
      <c r="K81" s="88"/>
      <c r="L81" s="120"/>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row>
    <row r="82" spans="1:51" x14ac:dyDescent="0.25">
      <c r="A82" s="122"/>
      <c r="B82" s="15"/>
      <c r="C82" s="16"/>
      <c r="D82" s="16"/>
      <c r="E82" s="17"/>
      <c r="F82" s="85"/>
      <c r="G82" s="85"/>
      <c r="H82" s="85"/>
      <c r="I82" s="85"/>
      <c r="J82" s="85"/>
      <c r="K82" s="85"/>
      <c r="L82" s="8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row>
    <row r="83" spans="1:51" x14ac:dyDescent="0.25">
      <c r="A83" s="67"/>
      <c r="B83" s="62"/>
      <c r="C83" s="62"/>
      <c r="D83" s="62"/>
      <c r="E83" s="62"/>
      <c r="F83" s="62"/>
      <c r="G83" s="62"/>
      <c r="H83" s="62"/>
      <c r="I83" s="62"/>
      <c r="J83" s="62"/>
      <c r="K83" s="62"/>
      <c r="L83" s="68"/>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row>
    <row r="84" spans="1:51" x14ac:dyDescent="0.25">
      <c r="A84" s="69"/>
      <c r="B84" s="56"/>
      <c r="C84" s="56"/>
      <c r="D84" s="56"/>
      <c r="E84" s="56"/>
      <c r="F84" s="56"/>
      <c r="G84" s="56"/>
      <c r="H84" s="56"/>
      <c r="I84" s="56"/>
      <c r="J84" s="56"/>
      <c r="K84" s="56"/>
      <c r="L84" s="70"/>
    </row>
    <row r="85" spans="1:51" x14ac:dyDescent="0.25">
      <c r="A85" s="119" t="s">
        <v>66</v>
      </c>
      <c r="B85" s="125"/>
      <c r="C85" s="125"/>
      <c r="D85" s="125"/>
      <c r="E85" s="125"/>
      <c r="F85" s="125"/>
      <c r="G85" s="125"/>
      <c r="H85" s="125"/>
      <c r="I85" s="125"/>
      <c r="J85" s="125"/>
      <c r="K85" s="125"/>
      <c r="L85" s="126"/>
    </row>
    <row r="86" spans="1:51" x14ac:dyDescent="0.25">
      <c r="A86" s="53"/>
      <c r="B86" s="54"/>
      <c r="C86" s="54"/>
      <c r="D86" s="54"/>
      <c r="E86" s="54"/>
      <c r="F86" s="54"/>
      <c r="G86" s="54"/>
      <c r="H86" s="54"/>
      <c r="I86" s="54"/>
      <c r="J86" s="54"/>
      <c r="K86" s="54"/>
      <c r="L86" s="55"/>
    </row>
    <row r="87" spans="1:51" x14ac:dyDescent="0.25">
      <c r="A87" s="157" t="s">
        <v>33</v>
      </c>
      <c r="B87" s="157" t="s">
        <v>67</v>
      </c>
      <c r="C87" s="157" t="s">
        <v>68</v>
      </c>
      <c r="D87" s="157" t="s">
        <v>69</v>
      </c>
      <c r="E87" s="125"/>
      <c r="F87" s="125"/>
      <c r="G87" s="125"/>
      <c r="H87" s="125"/>
      <c r="I87" s="125"/>
      <c r="J87" s="125"/>
      <c r="K87" s="125"/>
      <c r="L87" s="126"/>
    </row>
    <row r="88" spans="1:51" x14ac:dyDescent="0.25">
      <c r="A88" s="156">
        <v>43565</v>
      </c>
      <c r="B88" s="155">
        <v>800</v>
      </c>
      <c r="C88" s="156">
        <v>43636</v>
      </c>
      <c r="D88" s="155">
        <v>157.56</v>
      </c>
      <c r="E88" s="54"/>
      <c r="F88" s="54"/>
      <c r="G88" s="54"/>
      <c r="H88" s="54"/>
      <c r="I88" s="54"/>
      <c r="J88" s="54"/>
      <c r="K88" s="54"/>
      <c r="L88" s="55"/>
    </row>
    <row r="89" spans="1:51" x14ac:dyDescent="0.25">
      <c r="A89" s="79"/>
      <c r="B89" s="34">
        <v>135</v>
      </c>
      <c r="C89" s="34">
        <v>140</v>
      </c>
      <c r="D89" s="34">
        <v>145</v>
      </c>
      <c r="E89" s="34">
        <v>150</v>
      </c>
      <c r="F89" s="34">
        <v>155</v>
      </c>
      <c r="G89" s="34">
        <v>160</v>
      </c>
      <c r="H89" s="34">
        <v>165</v>
      </c>
      <c r="I89" s="34">
        <v>170</v>
      </c>
      <c r="J89" s="34">
        <v>175</v>
      </c>
      <c r="K89" s="34">
        <v>180</v>
      </c>
      <c r="L89" s="34">
        <v>185</v>
      </c>
    </row>
    <row r="90" spans="1:51" x14ac:dyDescent="0.25">
      <c r="A90" s="79" t="s">
        <v>70</v>
      </c>
      <c r="B90" s="11">
        <f>B89*$B$88</f>
        <v>108000</v>
      </c>
      <c r="C90" s="11">
        <f t="shared" ref="C90:L90" si="8">C89*$B$88</f>
        <v>112000</v>
      </c>
      <c r="D90" s="11">
        <f t="shared" si="8"/>
        <v>116000</v>
      </c>
      <c r="E90" s="11">
        <f t="shared" si="8"/>
        <v>120000</v>
      </c>
      <c r="F90" s="11">
        <f t="shared" si="8"/>
        <v>124000</v>
      </c>
      <c r="G90" s="11">
        <f t="shared" si="8"/>
        <v>128000</v>
      </c>
      <c r="H90" s="11">
        <f t="shared" si="8"/>
        <v>132000</v>
      </c>
      <c r="I90" s="11">
        <f t="shared" si="8"/>
        <v>136000</v>
      </c>
      <c r="J90" s="11">
        <f t="shared" si="8"/>
        <v>140000</v>
      </c>
      <c r="K90" s="11">
        <f t="shared" si="8"/>
        <v>144000</v>
      </c>
      <c r="L90" s="12">
        <f t="shared" si="8"/>
        <v>148000</v>
      </c>
    </row>
    <row r="91" spans="1:51" x14ac:dyDescent="0.25">
      <c r="A91" s="46" t="s">
        <v>71</v>
      </c>
      <c r="B91" s="11">
        <f>$B$88*$C$76</f>
        <v>3920.0000000000005</v>
      </c>
      <c r="C91" s="11">
        <f t="shared" ref="C91:L91" si="9">$B$88*$C$76</f>
        <v>3920.0000000000005</v>
      </c>
      <c r="D91" s="11">
        <f t="shared" si="9"/>
        <v>3920.0000000000005</v>
      </c>
      <c r="E91" s="11">
        <f t="shared" si="9"/>
        <v>3920.0000000000005</v>
      </c>
      <c r="F91" s="11">
        <f t="shared" si="9"/>
        <v>3920.0000000000005</v>
      </c>
      <c r="G91" s="11">
        <f t="shared" si="9"/>
        <v>3920.0000000000005</v>
      </c>
      <c r="H91" s="11">
        <f t="shared" si="9"/>
        <v>3920.0000000000005</v>
      </c>
      <c r="I91" s="11">
        <f t="shared" si="9"/>
        <v>3920.0000000000005</v>
      </c>
      <c r="J91" s="11">
        <f t="shared" si="9"/>
        <v>3920.0000000000005</v>
      </c>
      <c r="K91" s="11">
        <f t="shared" si="9"/>
        <v>3920.0000000000005</v>
      </c>
      <c r="L91" s="12">
        <f t="shared" si="9"/>
        <v>3920.0000000000005</v>
      </c>
    </row>
    <row r="92" spans="1:51" x14ac:dyDescent="0.25">
      <c r="A92" s="34" t="s">
        <v>72</v>
      </c>
      <c r="B92" s="21">
        <f>B91+B90</f>
        <v>111920</v>
      </c>
      <c r="C92" s="21">
        <f t="shared" ref="C92:L92" si="10">C91+C90</f>
        <v>115920</v>
      </c>
      <c r="D92" s="21">
        <f t="shared" si="10"/>
        <v>119920</v>
      </c>
      <c r="E92" s="21">
        <f t="shared" si="10"/>
        <v>123920</v>
      </c>
      <c r="F92" s="21">
        <f t="shared" si="10"/>
        <v>127920</v>
      </c>
      <c r="G92" s="21">
        <f t="shared" si="10"/>
        <v>131920</v>
      </c>
      <c r="H92" s="21">
        <f t="shared" si="10"/>
        <v>135920</v>
      </c>
      <c r="I92" s="21">
        <f t="shared" si="10"/>
        <v>139920</v>
      </c>
      <c r="J92" s="21">
        <f t="shared" si="10"/>
        <v>143920</v>
      </c>
      <c r="K92" s="21">
        <f t="shared" si="10"/>
        <v>147920</v>
      </c>
      <c r="L92" s="22">
        <f t="shared" si="10"/>
        <v>151920</v>
      </c>
    </row>
    <row r="93" spans="1:51" x14ac:dyDescent="0.25">
      <c r="A93" s="34" t="s">
        <v>73</v>
      </c>
      <c r="B93" s="11">
        <f>($D$88-B89)*$B$88</f>
        <v>18048</v>
      </c>
      <c r="C93" s="11">
        <f t="shared" ref="C93:L93" si="11">($D$88-C89)*$B$88</f>
        <v>14048.000000000002</v>
      </c>
      <c r="D93" s="11">
        <f t="shared" si="11"/>
        <v>10048.000000000002</v>
      </c>
      <c r="E93" s="11">
        <f t="shared" si="11"/>
        <v>6048.0000000000018</v>
      </c>
      <c r="F93" s="11">
        <f t="shared" si="11"/>
        <v>2048.0000000000018</v>
      </c>
      <c r="G93" s="11">
        <f t="shared" si="11"/>
        <v>-1951.9999999999982</v>
      </c>
      <c r="H93" s="11">
        <f t="shared" si="11"/>
        <v>-5951.9999999999982</v>
      </c>
      <c r="I93" s="11">
        <f t="shared" si="11"/>
        <v>-9951.9999999999982</v>
      </c>
      <c r="J93" s="11">
        <f t="shared" si="11"/>
        <v>-13951.999999999998</v>
      </c>
      <c r="K93" s="11">
        <f t="shared" si="11"/>
        <v>-17952</v>
      </c>
      <c r="L93" s="12">
        <f t="shared" si="11"/>
        <v>-21952</v>
      </c>
    </row>
    <row r="94" spans="1:51" x14ac:dyDescent="0.25">
      <c r="A94" s="46" t="s">
        <v>74</v>
      </c>
      <c r="B94" s="109">
        <f>B93+B92</f>
        <v>129968</v>
      </c>
      <c r="C94" s="109">
        <f t="shared" ref="C94:L94" si="12">C93+C92</f>
        <v>129968</v>
      </c>
      <c r="D94" s="109">
        <f t="shared" si="12"/>
        <v>129968</v>
      </c>
      <c r="E94" s="109">
        <f t="shared" si="12"/>
        <v>129968</v>
      </c>
      <c r="F94" s="109">
        <f t="shared" si="12"/>
        <v>129968</v>
      </c>
      <c r="G94" s="109">
        <f t="shared" si="12"/>
        <v>129968</v>
      </c>
      <c r="H94" s="109">
        <f t="shared" si="12"/>
        <v>129968</v>
      </c>
      <c r="I94" s="109">
        <f t="shared" si="12"/>
        <v>129968</v>
      </c>
      <c r="J94" s="109">
        <f t="shared" si="12"/>
        <v>129968</v>
      </c>
      <c r="K94" s="109">
        <f t="shared" si="12"/>
        <v>129968</v>
      </c>
      <c r="L94" s="110">
        <f t="shared" si="12"/>
        <v>129968</v>
      </c>
    </row>
    <row r="95" spans="1:51" x14ac:dyDescent="0.25">
      <c r="A95" s="20"/>
      <c r="B95" s="21"/>
      <c r="C95" s="21"/>
      <c r="D95" s="21"/>
      <c r="E95" s="21"/>
      <c r="F95" s="21"/>
      <c r="G95" s="154" t="s">
        <v>75</v>
      </c>
      <c r="H95" s="32"/>
      <c r="I95" s="32"/>
      <c r="J95" s="32"/>
      <c r="K95" s="32"/>
      <c r="L95" s="32"/>
    </row>
    <row r="96" spans="1:51" x14ac:dyDescent="0.25">
      <c r="A96" s="10"/>
      <c r="B96" s="11"/>
      <c r="C96" s="11"/>
      <c r="D96" s="11"/>
      <c r="E96" s="11"/>
      <c r="F96" s="11"/>
      <c r="G96" s="32"/>
      <c r="H96" s="32"/>
      <c r="I96" s="32"/>
      <c r="J96" s="32"/>
      <c r="K96" s="32"/>
      <c r="L96" s="32"/>
    </row>
    <row r="97" spans="1:12" x14ac:dyDescent="0.25">
      <c r="A97" s="10"/>
      <c r="B97" s="11"/>
      <c r="C97" s="11"/>
      <c r="D97" s="11"/>
      <c r="E97" s="11"/>
      <c r="F97" s="11"/>
      <c r="G97" s="160" t="s">
        <v>77</v>
      </c>
      <c r="H97" s="161"/>
      <c r="I97" s="161"/>
      <c r="J97" s="161"/>
      <c r="K97" s="161"/>
      <c r="L97" s="161"/>
    </row>
    <row r="98" spans="1:12" x14ac:dyDescent="0.25">
      <c r="A98" s="10"/>
      <c r="B98" s="11"/>
      <c r="C98" s="11"/>
      <c r="D98" s="11"/>
      <c r="E98" s="11"/>
      <c r="F98" s="11"/>
      <c r="G98" s="161"/>
      <c r="H98" s="161"/>
      <c r="I98" s="161"/>
      <c r="J98" s="161"/>
      <c r="K98" s="161"/>
      <c r="L98" s="161"/>
    </row>
    <row r="99" spans="1:12" x14ac:dyDescent="0.25">
      <c r="A99" s="10"/>
      <c r="B99" s="11"/>
      <c r="C99" s="11"/>
      <c r="D99" s="11"/>
      <c r="E99" s="11"/>
      <c r="F99" s="11"/>
      <c r="G99" s="161"/>
      <c r="H99" s="161"/>
      <c r="I99" s="161"/>
      <c r="J99" s="161"/>
      <c r="K99" s="161"/>
      <c r="L99" s="161"/>
    </row>
    <row r="100" spans="1:12" x14ac:dyDescent="0.25">
      <c r="A100" s="10"/>
      <c r="B100" s="11"/>
      <c r="C100" s="11"/>
      <c r="D100" s="11"/>
      <c r="E100" s="11"/>
      <c r="F100" s="11"/>
      <c r="G100" s="161"/>
      <c r="H100" s="161"/>
      <c r="I100" s="161"/>
      <c r="J100" s="161"/>
      <c r="K100" s="161"/>
      <c r="L100" s="161"/>
    </row>
    <row r="101" spans="1:12" x14ac:dyDescent="0.25">
      <c r="A101" s="10"/>
      <c r="B101" s="11"/>
      <c r="C101" s="11"/>
      <c r="D101" s="11"/>
      <c r="E101" s="11"/>
      <c r="F101" s="11"/>
      <c r="G101" s="161"/>
      <c r="H101" s="161"/>
      <c r="I101" s="161"/>
      <c r="J101" s="161"/>
      <c r="K101" s="161"/>
      <c r="L101" s="161"/>
    </row>
    <row r="102" spans="1:12" x14ac:dyDescent="0.25">
      <c r="A102" s="10"/>
      <c r="B102" s="11"/>
      <c r="C102" s="11"/>
      <c r="D102" s="11"/>
      <c r="E102" s="11"/>
      <c r="F102" s="11"/>
      <c r="G102" s="161"/>
      <c r="H102" s="161"/>
      <c r="I102" s="161"/>
      <c r="J102" s="161"/>
      <c r="K102" s="161"/>
      <c r="L102" s="161"/>
    </row>
    <row r="103" spans="1:12" x14ac:dyDescent="0.25">
      <c r="A103" s="10"/>
      <c r="B103" s="11"/>
      <c r="C103" s="11"/>
      <c r="D103" s="11"/>
      <c r="E103" s="11"/>
      <c r="F103" s="11"/>
      <c r="G103" s="161"/>
      <c r="H103" s="161"/>
      <c r="I103" s="161"/>
      <c r="J103" s="161"/>
      <c r="K103" s="161"/>
      <c r="L103" s="161"/>
    </row>
    <row r="104" spans="1:12" x14ac:dyDescent="0.25">
      <c r="A104" s="10"/>
      <c r="B104" s="11"/>
      <c r="C104" s="11"/>
      <c r="D104" s="11"/>
      <c r="E104" s="11"/>
      <c r="F104" s="11"/>
      <c r="G104" s="161"/>
      <c r="H104" s="161"/>
      <c r="I104" s="161"/>
      <c r="J104" s="161"/>
      <c r="K104" s="161"/>
      <c r="L104" s="161"/>
    </row>
    <row r="105" spans="1:12" x14ac:dyDescent="0.25">
      <c r="A105" s="10"/>
      <c r="B105" s="11"/>
      <c r="C105" s="11"/>
      <c r="D105" s="11"/>
      <c r="E105" s="11"/>
      <c r="F105" s="11"/>
      <c r="G105" s="161"/>
      <c r="H105" s="161"/>
      <c r="I105" s="161"/>
      <c r="J105" s="161"/>
      <c r="K105" s="161"/>
      <c r="L105" s="161"/>
    </row>
    <row r="106" spans="1:12" x14ac:dyDescent="0.25">
      <c r="A106" s="10"/>
      <c r="B106" s="11"/>
      <c r="C106" s="11"/>
      <c r="D106" s="11"/>
      <c r="E106" s="11"/>
      <c r="F106" s="11"/>
      <c r="G106" s="161"/>
      <c r="H106" s="161"/>
      <c r="I106" s="161"/>
      <c r="J106" s="161"/>
      <c r="K106" s="161"/>
      <c r="L106" s="161"/>
    </row>
    <row r="107" spans="1:12" x14ac:dyDescent="0.25">
      <c r="A107" s="10"/>
      <c r="B107" s="11"/>
      <c r="C107" s="11"/>
      <c r="D107" s="11"/>
      <c r="E107" s="11"/>
      <c r="F107" s="11"/>
      <c r="G107" s="161"/>
      <c r="H107" s="161"/>
      <c r="I107" s="161"/>
      <c r="J107" s="161"/>
      <c r="K107" s="161"/>
      <c r="L107" s="161"/>
    </row>
    <row r="108" spans="1:12" x14ac:dyDescent="0.25">
      <c r="A108" s="10"/>
      <c r="B108" s="11"/>
      <c r="C108" s="11"/>
      <c r="D108" s="11"/>
      <c r="E108" s="11"/>
      <c r="F108" s="11"/>
      <c r="G108" s="161"/>
      <c r="H108" s="161"/>
      <c r="I108" s="161"/>
      <c r="J108" s="161"/>
      <c r="K108" s="161"/>
      <c r="L108" s="161"/>
    </row>
    <row r="109" spans="1:12" x14ac:dyDescent="0.25">
      <c r="A109" s="10"/>
      <c r="B109" s="11"/>
      <c r="C109" s="11"/>
      <c r="D109" s="11"/>
      <c r="E109" s="11"/>
      <c r="F109" s="11"/>
      <c r="G109" s="161"/>
      <c r="H109" s="161"/>
      <c r="I109" s="161"/>
      <c r="J109" s="161"/>
      <c r="K109" s="161"/>
      <c r="L109" s="161"/>
    </row>
    <row r="110" spans="1:12" x14ac:dyDescent="0.25">
      <c r="A110" s="10"/>
      <c r="B110" s="11"/>
      <c r="C110" s="11"/>
      <c r="D110" s="11"/>
      <c r="E110" s="11"/>
      <c r="F110" s="11"/>
      <c r="G110" s="161"/>
      <c r="H110" s="161"/>
      <c r="I110" s="161"/>
      <c r="J110" s="161"/>
      <c r="K110" s="161"/>
      <c r="L110" s="161"/>
    </row>
    <row r="111" spans="1:12" x14ac:dyDescent="0.25">
      <c r="A111" s="10"/>
      <c r="B111" s="11"/>
      <c r="C111" s="11"/>
      <c r="D111" s="11"/>
      <c r="E111" s="11"/>
      <c r="F111" s="11"/>
      <c r="G111" s="161"/>
      <c r="H111" s="161"/>
      <c r="I111" s="161"/>
      <c r="J111" s="161"/>
      <c r="K111" s="161"/>
      <c r="L111" s="161"/>
    </row>
    <row r="112" spans="1:12" x14ac:dyDescent="0.25">
      <c r="A112" s="10"/>
      <c r="B112" s="11"/>
      <c r="C112" s="11"/>
      <c r="D112" s="11"/>
      <c r="E112" s="11"/>
      <c r="F112" s="11"/>
      <c r="G112" s="161"/>
      <c r="H112" s="161"/>
      <c r="I112" s="161"/>
      <c r="J112" s="161"/>
      <c r="K112" s="161"/>
      <c r="L112" s="161"/>
    </row>
    <row r="113" spans="1:12" x14ac:dyDescent="0.25">
      <c r="A113" s="10"/>
      <c r="B113" s="11"/>
      <c r="C113" s="11"/>
      <c r="D113" s="11"/>
      <c r="E113" s="11"/>
      <c r="F113" s="11"/>
      <c r="G113" s="161"/>
      <c r="H113" s="161"/>
      <c r="I113" s="161"/>
      <c r="J113" s="161"/>
      <c r="K113" s="161"/>
      <c r="L113" s="161"/>
    </row>
    <row r="114" spans="1:12" x14ac:dyDescent="0.25">
      <c r="A114" s="10"/>
      <c r="B114" s="11"/>
      <c r="C114" s="11"/>
      <c r="D114" s="11"/>
      <c r="E114" s="11"/>
      <c r="F114" s="11"/>
      <c r="G114" s="161"/>
      <c r="H114" s="161"/>
      <c r="I114" s="161"/>
      <c r="J114" s="161"/>
      <c r="K114" s="161"/>
      <c r="L114" s="161"/>
    </row>
    <row r="115" spans="1:12" x14ac:dyDescent="0.25">
      <c r="A115" s="10"/>
      <c r="B115" s="11"/>
      <c r="C115" s="11"/>
      <c r="D115" s="11"/>
      <c r="E115" s="11"/>
      <c r="F115" s="11"/>
      <c r="G115" s="161"/>
      <c r="H115" s="161"/>
      <c r="I115" s="161"/>
      <c r="J115" s="161"/>
      <c r="K115" s="161"/>
      <c r="L115" s="161"/>
    </row>
    <row r="116" spans="1:12" x14ac:dyDescent="0.25">
      <c r="A116" s="13"/>
      <c r="B116" s="14"/>
      <c r="C116" s="14"/>
      <c r="D116" s="14"/>
      <c r="E116" s="14"/>
      <c r="F116" s="14"/>
      <c r="G116" s="161"/>
      <c r="H116" s="161"/>
      <c r="I116" s="161"/>
      <c r="J116" s="161"/>
      <c r="K116" s="161"/>
      <c r="L116" s="161"/>
    </row>
  </sheetData>
  <mergeCells count="66">
    <mergeCell ref="A85:L86"/>
    <mergeCell ref="G95:L96"/>
    <mergeCell ref="A9:A11"/>
    <mergeCell ref="J9:L11"/>
    <mergeCell ref="B11:I11"/>
    <mergeCell ref="G97:L116"/>
    <mergeCell ref="E87:L88"/>
    <mergeCell ref="A73:L74"/>
    <mergeCell ref="T41:AY83"/>
    <mergeCell ref="E77:L77"/>
    <mergeCell ref="F78:L79"/>
    <mergeCell ref="F80:L82"/>
    <mergeCell ref="B82:E82"/>
    <mergeCell ref="A78:A82"/>
    <mergeCell ref="A83:L84"/>
    <mergeCell ref="I40:J40"/>
    <mergeCell ref="K39:L62"/>
    <mergeCell ref="A65:L68"/>
    <mergeCell ref="A69:B69"/>
    <mergeCell ref="A70:B70"/>
    <mergeCell ref="C69:L70"/>
    <mergeCell ref="C45:D45"/>
    <mergeCell ref="I45:J45"/>
    <mergeCell ref="A44:B44"/>
    <mergeCell ref="C44:D44"/>
    <mergeCell ref="E44:F44"/>
    <mergeCell ref="G44:H44"/>
    <mergeCell ref="I44:J44"/>
    <mergeCell ref="A43:B43"/>
    <mergeCell ref="C43:D43"/>
    <mergeCell ref="E43:F43"/>
    <mergeCell ref="G43:H43"/>
    <mergeCell ref="I43:J43"/>
    <mergeCell ref="A42:B42"/>
    <mergeCell ref="C42:D42"/>
    <mergeCell ref="E42:F42"/>
    <mergeCell ref="G42:H42"/>
    <mergeCell ref="I42:J42"/>
    <mergeCell ref="A41:B41"/>
    <mergeCell ref="C41:D41"/>
    <mergeCell ref="E41:F41"/>
    <mergeCell ref="G41:H41"/>
    <mergeCell ref="I41:J41"/>
    <mergeCell ref="A40:B40"/>
    <mergeCell ref="C40:D40"/>
    <mergeCell ref="E40:F40"/>
    <mergeCell ref="G40:H40"/>
    <mergeCell ref="B37:L38"/>
    <mergeCell ref="A39:B39"/>
    <mergeCell ref="C39:D39"/>
    <mergeCell ref="E39:F39"/>
    <mergeCell ref="G39:H39"/>
    <mergeCell ref="I39:J39"/>
    <mergeCell ref="B27:L28"/>
    <mergeCell ref="A25:L26"/>
    <mergeCell ref="K14:L15"/>
    <mergeCell ref="A12:L13"/>
    <mergeCell ref="A35:L36"/>
    <mergeCell ref="A23:L24"/>
    <mergeCell ref="I2:L4"/>
    <mergeCell ref="A5:L8"/>
    <mergeCell ref="A1:D1"/>
    <mergeCell ref="E1:H1"/>
    <mergeCell ref="E2:H4"/>
    <mergeCell ref="A14:J15"/>
    <mergeCell ref="A22:L22"/>
  </mergeCells>
  <phoneticPr fontId="8" type="noConversion"/>
  <hyperlinks>
    <hyperlink ref="A70" r:id="rId1" display="https://www.kesko.fi/contentassets/5a521a7c09e344a9b040bde7e9f1fb9a/kesko_vsk_2012_fin_lr.pdf" xr:uid="{8FB64918-7807-4A0E-BE39-05B57DAA7E67}"/>
    <hyperlink ref="A70:B70" r:id="rId2" display="link" xr:uid="{3CF9D757-9C06-4FA8-B961-3F313193525F}"/>
  </hyperlinks>
  <pageMargins left="0.7" right="0.7" top="0.75" bottom="0.75" header="0.3" footer="0.3"/>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44A5013E-5741-444C-9051-0360BC695466}">
          <x14:formula1>
            <xm:f>Räteterminer!$B$1:$D$1</xm:f>
          </x14:formula1>
          <xm:sqref>C3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5239E-82BA-464B-A12E-3C4065D9FBD2}">
  <dimension ref="A1:H3"/>
  <sheetViews>
    <sheetView workbookViewId="0">
      <selection activeCell="A3" sqref="A3:H3"/>
    </sheetView>
  </sheetViews>
  <sheetFormatPr defaultRowHeight="15" x14ac:dyDescent="0.25"/>
  <cols>
    <col min="1" max="20" width="14" customWidth="1"/>
  </cols>
  <sheetData>
    <row r="1" spans="1:8" x14ac:dyDescent="0.25">
      <c r="A1" t="s">
        <v>0</v>
      </c>
      <c r="B1" t="s">
        <v>1</v>
      </c>
      <c r="C1" t="s">
        <v>2</v>
      </c>
      <c r="D1" t="s">
        <v>3</v>
      </c>
      <c r="E1" t="s">
        <v>4</v>
      </c>
      <c r="F1" t="s">
        <v>5</v>
      </c>
      <c r="G1" t="s">
        <v>6</v>
      </c>
      <c r="H1" t="s">
        <v>7</v>
      </c>
    </row>
    <row r="2" spans="1:8" x14ac:dyDescent="0.25">
      <c r="A2" s="2">
        <v>1.9499999999999999E-3</v>
      </c>
      <c r="B2" s="3">
        <v>2.0799999999999998E-3</v>
      </c>
      <c r="C2" s="3">
        <v>2.33E-3</v>
      </c>
      <c r="D2" s="3">
        <v>2.6800000000000001E-3</v>
      </c>
      <c r="E2" s="3">
        <v>3.0400000000000002E-3</v>
      </c>
      <c r="F2" s="3">
        <v>4.0499999999999998E-3</v>
      </c>
      <c r="G2" s="3">
        <v>4.8999999999999998E-3</v>
      </c>
      <c r="H2" s="3">
        <v>5.7400000000000003E-3</v>
      </c>
    </row>
    <row r="3" spans="1:8" x14ac:dyDescent="0.25">
      <c r="A3">
        <v>7</v>
      </c>
      <c r="B3">
        <v>14</v>
      </c>
      <c r="C3">
        <v>30</v>
      </c>
      <c r="D3">
        <v>60</v>
      </c>
      <c r="E3">
        <v>90</v>
      </c>
      <c r="F3">
        <v>180</v>
      </c>
      <c r="G3">
        <v>270</v>
      </c>
      <c r="H3">
        <v>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5574-9792-45DD-B75A-A2C08DF8571C}">
  <dimension ref="A1:E3"/>
  <sheetViews>
    <sheetView workbookViewId="0">
      <selection activeCell="E3" sqref="E3"/>
    </sheetView>
  </sheetViews>
  <sheetFormatPr defaultRowHeight="15" x14ac:dyDescent="0.25"/>
  <cols>
    <col min="1" max="1" width="13.140625" customWidth="1"/>
    <col min="2" max="4" width="10.42578125" bestFit="1" customWidth="1"/>
    <col min="5" max="5" width="14.7109375" customWidth="1"/>
  </cols>
  <sheetData>
    <row r="1" spans="1:5" x14ac:dyDescent="0.25">
      <c r="A1" t="s">
        <v>8</v>
      </c>
      <c r="B1" t="s">
        <v>10</v>
      </c>
      <c r="C1" t="s">
        <v>11</v>
      </c>
      <c r="D1" t="s">
        <v>12</v>
      </c>
      <c r="E1" t="s">
        <v>9</v>
      </c>
    </row>
    <row r="2" spans="1:5" ht="15.75" x14ac:dyDescent="0.25">
      <c r="A2" s="4" t="s">
        <v>13</v>
      </c>
      <c r="B2" s="5">
        <v>41805</v>
      </c>
      <c r="C2" s="5">
        <v>41897</v>
      </c>
      <c r="D2" s="5">
        <v>41988</v>
      </c>
      <c r="E2" s="18">
        <v>42079</v>
      </c>
    </row>
    <row r="3" spans="1:5" ht="15.75" x14ac:dyDescent="0.25">
      <c r="A3" t="s">
        <v>14</v>
      </c>
      <c r="B3" s="1">
        <v>2.9499999999999999E-3</v>
      </c>
      <c r="C3" s="1">
        <v>2.9499999999999999E-3</v>
      </c>
      <c r="D3" s="1">
        <v>3.0999999999999999E-3</v>
      </c>
      <c r="E3" s="19">
        <v>3.2499999999999999E-3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2FA7-7E8D-43AE-A1A4-FA5309EB0273}">
  <dimension ref="A1:B5"/>
  <sheetViews>
    <sheetView workbookViewId="0">
      <selection activeCell="E5" sqref="E5"/>
    </sheetView>
  </sheetViews>
  <sheetFormatPr defaultRowHeight="15" x14ac:dyDescent="0.25"/>
  <cols>
    <col min="1" max="1" width="11" customWidth="1"/>
    <col min="2" max="2" width="12.140625" customWidth="1"/>
  </cols>
  <sheetData>
    <row r="1" spans="1:2" x14ac:dyDescent="0.25">
      <c r="B1" t="s">
        <v>15</v>
      </c>
    </row>
    <row r="2" spans="1:2" x14ac:dyDescent="0.25">
      <c r="A2" s="5">
        <v>41791</v>
      </c>
      <c r="B2">
        <v>99.71</v>
      </c>
    </row>
    <row r="3" spans="1:2" x14ac:dyDescent="0.25">
      <c r="A3" s="5">
        <v>41883</v>
      </c>
      <c r="B3">
        <v>99.74</v>
      </c>
    </row>
    <row r="4" spans="1:2" x14ac:dyDescent="0.25">
      <c r="A4" s="5">
        <v>41974</v>
      </c>
      <c r="B4">
        <v>99.734999999999999</v>
      </c>
    </row>
    <row r="5" spans="1:2" x14ac:dyDescent="0.25">
      <c r="A5" s="5">
        <v>42064</v>
      </c>
      <c r="B5">
        <v>99.72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2603-CA39-4BA6-91EC-74BC9AC75A3C}">
  <dimension ref="A1:H3"/>
  <sheetViews>
    <sheetView workbookViewId="0">
      <selection activeCell="A3" sqref="A3"/>
    </sheetView>
  </sheetViews>
  <sheetFormatPr defaultRowHeight="15" x14ac:dyDescent="0.25"/>
  <sheetData>
    <row r="1" spans="1:8" ht="15.75" thickBot="1" x14ac:dyDescent="0.3">
      <c r="A1" t="s">
        <v>0</v>
      </c>
      <c r="B1" t="s">
        <v>1</v>
      </c>
      <c r="C1" t="s">
        <v>2</v>
      </c>
      <c r="D1" t="s">
        <v>3</v>
      </c>
      <c r="E1" t="s">
        <v>4</v>
      </c>
      <c r="F1" t="s">
        <v>5</v>
      </c>
      <c r="G1" t="s">
        <v>6</v>
      </c>
      <c r="H1" t="s">
        <v>7</v>
      </c>
    </row>
    <row r="2" spans="1:8" ht="15.75" thickBot="1" x14ac:dyDescent="0.3">
      <c r="A2" s="66">
        <v>2.2300000000000002E-3</v>
      </c>
      <c r="B2" s="66">
        <v>2.31E-3</v>
      </c>
      <c r="C2" s="66">
        <v>2.5300000000000001E-3</v>
      </c>
      <c r="D2" s="66">
        <v>2.8999999999999998E-3</v>
      </c>
      <c r="E2" s="66">
        <v>3.2799999999999999E-3</v>
      </c>
      <c r="F2" s="66">
        <v>4.28E-3</v>
      </c>
      <c r="G2" s="66">
        <v>5.11E-3</v>
      </c>
      <c r="H2" s="66">
        <v>6.0099999999999997E-3</v>
      </c>
    </row>
    <row r="3" spans="1:8" x14ac:dyDescent="0.25">
      <c r="A3">
        <v>7</v>
      </c>
      <c r="B3">
        <v>14</v>
      </c>
      <c r="C3">
        <v>30</v>
      </c>
      <c r="D3">
        <v>60</v>
      </c>
      <c r="E3">
        <v>90</v>
      </c>
      <c r="F3">
        <v>180</v>
      </c>
      <c r="G3">
        <v>270</v>
      </c>
      <c r="H3">
        <v>360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AFFFC-12AF-43F7-9E89-8E3547CFBBD3}">
  <dimension ref="A1:F2"/>
  <sheetViews>
    <sheetView workbookViewId="0">
      <selection activeCell="C2" sqref="C2"/>
    </sheetView>
  </sheetViews>
  <sheetFormatPr defaultRowHeight="15" x14ac:dyDescent="0.25"/>
  <sheetData>
    <row r="1" spans="1:6" ht="15.75" thickBot="1" x14ac:dyDescent="0.3">
      <c r="A1" t="s">
        <v>49</v>
      </c>
      <c r="B1" t="s">
        <v>2</v>
      </c>
      <c r="C1" t="s">
        <v>4</v>
      </c>
      <c r="D1" t="s">
        <v>5</v>
      </c>
      <c r="E1" t="s">
        <v>7</v>
      </c>
    </row>
    <row r="2" spans="1:6" ht="15.75" thickBot="1" x14ac:dyDescent="0.3">
      <c r="A2" s="65">
        <v>-3.7799999999999999E-3</v>
      </c>
      <c r="B2" s="65">
        <v>-3.6700000000000001E-3</v>
      </c>
      <c r="C2" s="65">
        <v>-3.0999999999999999E-3</v>
      </c>
      <c r="D2" s="65">
        <v>-2.31E-3</v>
      </c>
      <c r="E2" s="65">
        <v>-1.1199999999999999E-3</v>
      </c>
      <c r="F2" s="6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96184E-EC6E-4431-A4A1-A9726F7210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SVAR TILL UPPGIFTER</vt:lpstr>
      <vt:lpstr>Euribor_360</vt:lpstr>
      <vt:lpstr>Räteterminer</vt:lpstr>
      <vt:lpstr>Eurex_11_4</vt:lpstr>
      <vt:lpstr>euribor_11_4</vt:lpstr>
      <vt:lpstr>euribor_10_4_19</vt:lpstr>
      <vt:lpstr>Kesko_2012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Hektor Dahlberg</dc:creator>
  <cp:lastModifiedBy>Hektor Dahlberg</cp:lastModifiedBy>
  <dcterms:created xsi:type="dcterms:W3CDTF">2026-04-21T15:09:07Z</dcterms:created>
  <dcterms:modified xsi:type="dcterms:W3CDTF">2026-04-22T14:58:59Z</dcterms:modified>
</cp:coreProperties>
</file>