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ekto\Downloads\"/>
    </mc:Choice>
  </mc:AlternateContent>
  <xr:revisionPtr revIDLastSave="0" documentId="8_{0E977DBE-C303-4F63-858A-098ABE798FD6}" xr6:coauthVersionLast="47" xr6:coauthVersionMax="47" xr10:uidLastSave="{00000000-0000-0000-0000-000000000000}"/>
  <bookViews>
    <workbookView xWindow="-26610" yWindow="2955" windowWidth="21600" windowHeight="11295" xr2:uid="{1C9D7837-2963-4400-B65B-6B0C87B6914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7" i="1" l="1"/>
  <c r="F66" i="1"/>
  <c r="F65" i="1"/>
  <c r="E75" i="1"/>
  <c r="E71" i="1"/>
  <c r="E84" i="1"/>
  <c r="D81" i="1"/>
  <c r="D82" i="1"/>
  <c r="D83" i="1"/>
  <c r="D84" i="1"/>
  <c r="D80" i="1"/>
  <c r="E83" i="1"/>
  <c r="E82" i="1"/>
  <c r="E81" i="1"/>
  <c r="E80" i="1"/>
  <c r="D71" i="1"/>
  <c r="D75" i="1"/>
  <c r="E74" i="1"/>
  <c r="D74" i="1"/>
  <c r="E73" i="1"/>
  <c r="D73" i="1"/>
  <c r="E72" i="1"/>
  <c r="D72" i="1"/>
  <c r="B57" i="1"/>
  <c r="E62" i="1"/>
  <c r="E59" i="1"/>
  <c r="D66" i="1" s="1"/>
  <c r="E60" i="1"/>
  <c r="E61" i="1"/>
  <c r="E58" i="1"/>
  <c r="D65" i="1" s="1"/>
  <c r="D59" i="1"/>
  <c r="D60" i="1"/>
  <c r="D61" i="1"/>
  <c r="D62" i="1"/>
  <c r="D58" i="1"/>
  <c r="E37" i="1" a="1"/>
  <c r="E37" i="1" s="1"/>
  <c r="E38" i="1" a="1"/>
  <c r="E38" i="1" s="1"/>
  <c r="E39" i="1" a="1"/>
  <c r="E39" i="1" s="1"/>
  <c r="E40" i="1" a="1"/>
  <c r="E40" i="1" s="1"/>
  <c r="E41" i="1" a="1"/>
  <c r="E41" i="1" s="1"/>
  <c r="E36" i="1" a="1"/>
  <c r="E36" i="1" s="1"/>
  <c r="E35" i="1" a="1"/>
  <c r="E35" i="1" s="1"/>
  <c r="D36" i="1"/>
  <c r="D37" i="1"/>
  <c r="D38" i="1"/>
  <c r="D39" i="1"/>
  <c r="D40" i="1"/>
  <c r="D41" i="1"/>
  <c r="D35" i="1"/>
  <c r="D27" i="1" a="1"/>
  <c r="D27" i="1" s="1"/>
  <c r="D28" i="1" a="1"/>
  <c r="D28" i="1" s="1"/>
  <c r="D29" i="1" a="1"/>
  <c r="D29" i="1" s="1"/>
  <c r="D30" i="1" a="1"/>
  <c r="D30" i="1" s="1"/>
  <c r="D31" i="1" a="1"/>
  <c r="D31" i="1" s="1"/>
  <c r="D32" i="1" a="1"/>
  <c r="D32" i="1" s="1"/>
  <c r="D26" i="1" a="1"/>
  <c r="D26" i="1" s="1"/>
  <c r="E32" i="1" a="1"/>
  <c r="E32" i="1" s="1"/>
  <c r="E26" i="1" a="1"/>
  <c r="E26" i="1" s="1"/>
  <c r="E27" i="1" a="1"/>
  <c r="E27" i="1" s="1"/>
  <c r="E28" i="1" a="1"/>
  <c r="E28" i="1" s="1"/>
  <c r="E29" i="1" a="1"/>
  <c r="E29" i="1" s="1"/>
  <c r="E30" i="1" a="1"/>
  <c r="E30" i="1" s="1"/>
  <c r="E31" i="1" a="1"/>
  <c r="E31" i="1" s="1"/>
  <c r="D18" i="1"/>
  <c r="G18" i="1" s="1"/>
  <c r="D19" i="1"/>
  <c r="G19" i="1" s="1"/>
  <c r="D20" i="1"/>
  <c r="G20" i="1" s="1"/>
  <c r="D21" i="1"/>
  <c r="D22" i="1"/>
  <c r="D23" i="1"/>
  <c r="E22" i="1"/>
  <c r="E23" i="1"/>
  <c r="E21" i="1"/>
  <c r="D17" i="1"/>
  <c r="G17" i="1" s="1"/>
  <c r="F13" i="1"/>
  <c r="C27" i="1" s="1"/>
  <c r="F14" i="1"/>
  <c r="C38" i="1" s="1"/>
  <c r="F12" i="1"/>
  <c r="C21" i="1" s="1"/>
  <c r="B79" i="1" l="1"/>
  <c r="F81" i="1" s="1"/>
  <c r="G81" i="1" s="1"/>
  <c r="D67" i="1"/>
  <c r="F80" i="1"/>
  <c r="G80" i="1" s="1"/>
  <c r="F84" i="1"/>
  <c r="B70" i="1"/>
  <c r="F71" i="1" s="1"/>
  <c r="F83" i="1"/>
  <c r="F82" i="1"/>
  <c r="F58" i="1"/>
  <c r="G58" i="1" s="1"/>
  <c r="F62" i="1"/>
  <c r="G62" i="1" s="1"/>
  <c r="F61" i="1"/>
  <c r="G61" i="1" s="1"/>
  <c r="F60" i="1"/>
  <c r="G60" i="1" s="1"/>
  <c r="G36" i="1"/>
  <c r="F59" i="1"/>
  <c r="G59" i="1" s="1"/>
  <c r="G31" i="1"/>
  <c r="C26" i="1"/>
  <c r="F26" i="1" s="1"/>
  <c r="G40" i="1"/>
  <c r="G32" i="1"/>
  <c r="F21" i="1"/>
  <c r="G23" i="1"/>
  <c r="G21" i="1"/>
  <c r="G30" i="1"/>
  <c r="G39" i="1"/>
  <c r="G38" i="1"/>
  <c r="C31" i="1"/>
  <c r="F31" i="1" s="1"/>
  <c r="C32" i="1"/>
  <c r="F32" i="1" s="1"/>
  <c r="G29" i="1"/>
  <c r="C30" i="1"/>
  <c r="C20" i="1"/>
  <c r="F20" i="1" s="1"/>
  <c r="C19" i="1"/>
  <c r="F19" i="1" s="1"/>
  <c r="G27" i="1"/>
  <c r="G22" i="1"/>
  <c r="C37" i="1"/>
  <c r="F37" i="1" s="1"/>
  <c r="G28" i="1"/>
  <c r="C18" i="1"/>
  <c r="F18" i="1" s="1"/>
  <c r="G26" i="1"/>
  <c r="G41" i="1"/>
  <c r="G35" i="1"/>
  <c r="C36" i="1"/>
  <c r="F36" i="1" s="1"/>
  <c r="C29" i="1"/>
  <c r="F29" i="1" s="1"/>
  <c r="C35" i="1"/>
  <c r="F35" i="1" s="1"/>
  <c r="C17" i="1"/>
  <c r="F17" i="1" s="1"/>
  <c r="C28" i="1"/>
  <c r="F28" i="1" s="1"/>
  <c r="C41" i="1"/>
  <c r="F41" i="1" s="1"/>
  <c r="C40" i="1"/>
  <c r="F40" i="1" s="1"/>
  <c r="C23" i="1"/>
  <c r="F23" i="1" s="1"/>
  <c r="C39" i="1"/>
  <c r="F39" i="1" s="1"/>
  <c r="G37" i="1"/>
  <c r="C22" i="1"/>
  <c r="F22" i="1" s="1"/>
  <c r="F38" i="1"/>
  <c r="F27" i="1"/>
  <c r="F30" i="1"/>
  <c r="C65" i="1" l="1"/>
  <c r="E65" i="1" s="1"/>
  <c r="G83" i="1"/>
  <c r="G82" i="1"/>
  <c r="F73" i="1"/>
  <c r="G73" i="1" s="1"/>
  <c r="F74" i="1"/>
  <c r="G74" i="1" s="1"/>
  <c r="F75" i="1"/>
  <c r="G71" i="1"/>
  <c r="F72" i="1"/>
  <c r="G72" i="1" s="1"/>
  <c r="G75" i="1" l="1"/>
  <c r="C66" i="1" s="1"/>
  <c r="E66" i="1" l="1"/>
  <c r="G84" i="1"/>
  <c r="C67" i="1" s="1"/>
  <c r="E67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<sst xmlns="http://schemas.openxmlformats.org/spreadsheetml/2006/main" count="132" uniqueCount="83">
  <si>
    <t>Lånalternativ</t>
  </si>
  <si>
    <t>Kupongränta</t>
  </si>
  <si>
    <t>Emissionskurs</t>
  </si>
  <si>
    <t>Tillägsvilkor</t>
  </si>
  <si>
    <t>Teckingsprovisioner</t>
  </si>
  <si>
    <t>Typ</t>
  </si>
  <si>
    <t>Alexaindria Nokian Renkaat 3.5 x Booster 2</t>
  </si>
  <si>
    <t>OP PlaceringsPlus Lyxbolag XVII/2023</t>
  </si>
  <si>
    <t>Aktia Aktieobligation Europas Försvarsindustri</t>
  </si>
  <si>
    <t>Sparbanken Placeringsobligation Europeisk Exportbolags Avkastning</t>
  </si>
  <si>
    <t>Danske OCO1 Norden Måttlig 2</t>
  </si>
  <si>
    <t>Löptid ca (år)</t>
  </si>
  <si>
    <t>Minsta Teckningsbelopp</t>
  </si>
  <si>
    <t>AktieIndex</t>
  </si>
  <si>
    <t>Aktiekorg</t>
  </si>
  <si>
    <t>Underliggande Egendom</t>
  </si>
  <si>
    <t>10 Nordiska aktier (lika vikt)</t>
  </si>
  <si>
    <t>Nokian Renkaat (Decrement -index)</t>
  </si>
  <si>
    <t>S&amp;P Global Luxury 5% (Decrement-index)</t>
  </si>
  <si>
    <t>Euronext Europe Defense Fixed Basket 5% (Decrement-Index)</t>
  </si>
  <si>
    <t>10 Europeiska Exportbolag (lika vikt)</t>
  </si>
  <si>
    <t>Premilinär koefficient</t>
  </si>
  <si>
    <t>350% (min 280%)</t>
  </si>
  <si>
    <t>200% (min 150%)</t>
  </si>
  <si>
    <t>50%( min 40%)</t>
  </si>
  <si>
    <t>130%(min 110%)</t>
  </si>
  <si>
    <t>165% (min 145%)</t>
  </si>
  <si>
    <t>Kapitalskydd</t>
  </si>
  <si>
    <t>Inget</t>
  </si>
  <si>
    <t>Avkastningstak</t>
  </si>
  <si>
    <t>Max 210% (60% uppgång)</t>
  </si>
  <si>
    <t>om över 40% nergång förloras kapitalet 1:1</t>
  </si>
  <si>
    <t>Max 40%(20%uppgång)</t>
  </si>
  <si>
    <t>Dom 4 bästa aktierna i korgen ges ett avkastnings krav av 30%</t>
  </si>
  <si>
    <t>Nokian Renkaat 3.5 x</t>
  </si>
  <si>
    <t>Lyxbolag XVII/2013</t>
  </si>
  <si>
    <t>Europas Försvarsindustri</t>
  </si>
  <si>
    <t>Nominell belopp</t>
  </si>
  <si>
    <t>Provisioner</t>
  </si>
  <si>
    <t>Investeringar</t>
  </si>
  <si>
    <t>Investering</t>
  </si>
  <si>
    <t xml:space="preserve">Återbetal </t>
  </si>
  <si>
    <t>Nettoavkastning</t>
  </si>
  <si>
    <t>Avkastning  av index</t>
  </si>
  <si>
    <t>Årligavksastning (hela år)</t>
  </si>
  <si>
    <t>Vilkor</t>
  </si>
  <si>
    <t>Aktia</t>
  </si>
  <si>
    <t>Ålandsbanken</t>
  </si>
  <si>
    <t>Lånetyp</t>
  </si>
  <si>
    <t>Minimi-investering</t>
  </si>
  <si>
    <t>Teckingsprovision</t>
  </si>
  <si>
    <t>Bullet</t>
  </si>
  <si>
    <t>Amorternade</t>
  </si>
  <si>
    <t>Lånetid (år)</t>
  </si>
  <si>
    <t>Rörlig</t>
  </si>
  <si>
    <t>Ingen</t>
  </si>
  <si>
    <t>Säkerhet</t>
  </si>
  <si>
    <t>Värderingsdatum</t>
  </si>
  <si>
    <t>Betalningsdatum</t>
  </si>
  <si>
    <t>Antal dagar</t>
  </si>
  <si>
    <t>Aktia Debenturlån 2/2024</t>
  </si>
  <si>
    <t>Kupongräntan</t>
  </si>
  <si>
    <t>Kapital</t>
  </si>
  <si>
    <t>Kassaflöde</t>
  </si>
  <si>
    <t>Diskonteringsfaktor</t>
  </si>
  <si>
    <t>Riskpålägg</t>
  </si>
  <si>
    <t>Ränta Benchmark</t>
  </si>
  <si>
    <t>Löptid 28.4.2008–4.7.2019</t>
  </si>
  <si>
    <t>Avkastningskrav</t>
  </si>
  <si>
    <t>Nuvärdet</t>
  </si>
  <si>
    <t>Ränta 2015</t>
  </si>
  <si>
    <t>Ränta 2016</t>
  </si>
  <si>
    <t>Ränta 2017</t>
  </si>
  <si>
    <t>Ränta 2018</t>
  </si>
  <si>
    <t>Ränta 2019 + Kapital</t>
  </si>
  <si>
    <t>Slutsummor</t>
  </si>
  <si>
    <t>Accured interest</t>
  </si>
  <si>
    <t>Bruttovärde (dirty )</t>
  </si>
  <si>
    <t>Nettovärdet (clean)</t>
  </si>
  <si>
    <t>Utgivet</t>
  </si>
  <si>
    <t>Aktia Debenturlån 2/2024 (1% ökad)</t>
  </si>
  <si>
    <t>Aktia Debenturlån 2/2024 (0.5% minskad)</t>
  </si>
  <si>
    <t>Förändring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</si>
</sst>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#,##0\ &quot;€&quot;;[Red]\-#,##0\ &quot;€&quot;"/>
    <numFmt numFmtId="164" formatCode="#,##0.0\ &quot;€&quot;;[Red]\-#,##0.0\ &quot;€&quot;"/>
    <numFmt numFmtId="167" formatCode="yyyy\-mm\-dd;@"/>
    <numFmt numFmtId="169" formatCode="#,##0.00\ &quot;€&quot;"/>
  </numFmts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2" xfId="0" applyBorder="1"/>
    <xf numFmtId="0" fontId="0" fillId="2" borderId="2" xfId="0" applyFill="1" applyBorder="1"/>
    <xf numFmtId="0" fontId="0" fillId="0" borderId="3" xfId="0" applyBorder="1"/>
    <xf numFmtId="0" fontId="0" fillId="0" borderId="4" xfId="0" applyBorder="1"/>
    <xf numFmtId="6" fontId="0" fillId="0" borderId="1" xfId="0" applyNumberFormat="1" applyBorder="1"/>
    <xf numFmtId="6" fontId="0" fillId="0" borderId="2" xfId="0" applyNumberFormat="1" applyBorder="1"/>
    <xf numFmtId="9" fontId="0" fillId="0" borderId="2" xfId="0" applyNumberFormat="1" applyBorder="1"/>
    <xf numFmtId="9" fontId="0" fillId="0" borderId="1" xfId="0" applyNumberFormat="1" applyBorder="1"/>
    <xf numFmtId="0" fontId="0" fillId="0" borderId="5" xfId="0" applyBorder="1"/>
    <xf numFmtId="9" fontId="0" fillId="0" borderId="7" xfId="0" applyNumberFormat="1" applyBorder="1"/>
    <xf numFmtId="0" fontId="0" fillId="0" borderId="8" xfId="0" applyBorder="1"/>
    <xf numFmtId="0" fontId="0" fillId="0" borderId="9" xfId="0" applyBorder="1"/>
    <xf numFmtId="9" fontId="0" fillId="0" borderId="2" xfId="0" applyNumberFormat="1" applyBorder="1" applyAlignment="1">
      <alignment wrapText="1"/>
    </xf>
    <xf numFmtId="6" fontId="0" fillId="0" borderId="1" xfId="0" applyNumberFormat="1" applyBorder="1" applyAlignment="1">
      <alignment wrapText="1"/>
    </xf>
    <xf numFmtId="0" fontId="0" fillId="0" borderId="0" xfId="0" applyBorder="1"/>
    <xf numFmtId="9" fontId="0" fillId="0" borderId="0" xfId="0" applyNumberFormat="1"/>
    <xf numFmtId="164" fontId="0" fillId="0" borderId="1" xfId="0" applyNumberFormat="1" applyBorder="1"/>
    <xf numFmtId="10" fontId="0" fillId="0" borderId="1" xfId="0" applyNumberFormat="1" applyBorder="1"/>
    <xf numFmtId="10" fontId="0" fillId="0" borderId="0" xfId="0" applyNumberFormat="1"/>
    <xf numFmtId="0" fontId="0" fillId="3" borderId="1" xfId="0" applyFill="1" applyBorder="1"/>
    <xf numFmtId="0" fontId="0" fillId="3" borderId="7" xfId="0" applyFill="1" applyBorder="1"/>
    <xf numFmtId="14" fontId="0" fillId="0" borderId="0" xfId="0" applyNumberFormat="1"/>
    <xf numFmtId="167" fontId="0" fillId="0" borderId="0" xfId="0" applyNumberFormat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3" borderId="10" xfId="0" applyFill="1" applyBorder="1"/>
    <xf numFmtId="0" fontId="0" fillId="3" borderId="11" xfId="0" applyFill="1" applyBorder="1"/>
    <xf numFmtId="0" fontId="0" fillId="3" borderId="12" xfId="0" applyFill="1" applyBorder="1"/>
    <xf numFmtId="9" fontId="0" fillId="3" borderId="6" xfId="0" applyNumberFormat="1" applyFill="1" applyBorder="1"/>
    <xf numFmtId="6" fontId="0" fillId="3" borderId="13" xfId="0" applyNumberFormat="1" applyFill="1" applyBorder="1"/>
    <xf numFmtId="167" fontId="0" fillId="3" borderId="14" xfId="0" applyNumberFormat="1" applyFill="1" applyBorder="1"/>
    <xf numFmtId="0" fontId="0" fillId="3" borderId="0" xfId="0" applyFill="1" applyBorder="1"/>
    <xf numFmtId="9" fontId="0" fillId="4" borderId="0" xfId="0" applyNumberFormat="1" applyFill="1" applyBorder="1"/>
    <xf numFmtId="6" fontId="0" fillId="4" borderId="0" xfId="0" applyNumberFormat="1" applyFill="1" applyBorder="1"/>
    <xf numFmtId="167" fontId="0" fillId="4" borderId="0" xfId="0" applyNumberFormat="1" applyFill="1" applyBorder="1"/>
    <xf numFmtId="0" fontId="0" fillId="0" borderId="16" xfId="0" applyBorder="1"/>
    <xf numFmtId="10" fontId="0" fillId="0" borderId="15" xfId="0" applyNumberFormat="1" applyBorder="1"/>
    <xf numFmtId="167" fontId="0" fillId="0" borderId="0" xfId="0" applyNumberFormat="1" applyBorder="1"/>
    <xf numFmtId="2" fontId="0" fillId="0" borderId="0" xfId="0" applyNumberFormat="1" applyBorder="1"/>
    <xf numFmtId="169" fontId="0" fillId="0" borderId="0" xfId="0" applyNumberFormat="1" applyBorder="1"/>
    <xf numFmtId="169" fontId="0" fillId="0" borderId="16" xfId="0" applyNumberFormat="1" applyBorder="1"/>
    <xf numFmtId="10" fontId="0" fillId="0" borderId="6" xfId="0" applyNumberFormat="1" applyBorder="1"/>
    <xf numFmtId="167" fontId="0" fillId="0" borderId="13" xfId="0" applyNumberFormat="1" applyBorder="1"/>
    <xf numFmtId="2" fontId="0" fillId="0" borderId="13" xfId="0" applyNumberFormat="1" applyBorder="1"/>
    <xf numFmtId="169" fontId="0" fillId="0" borderId="13" xfId="0" applyNumberFormat="1" applyBorder="1"/>
    <xf numFmtId="0" fontId="0" fillId="0" borderId="13" xfId="0" applyBorder="1"/>
    <xf numFmtId="169" fontId="0" fillId="0" borderId="14" xfId="0" applyNumberFormat="1" applyBorder="1"/>
    <xf numFmtId="10" fontId="0" fillId="0" borderId="1" xfId="0" applyNumberFormat="1" applyFill="1" applyBorder="1"/>
    <xf numFmtId="169" fontId="0" fillId="0" borderId="1" xfId="0" applyNumberFormat="1" applyBorder="1"/>
    <xf numFmtId="0" fontId="0" fillId="0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C9A3C4-AC27-4249-8F07-6AE850F02EDE}">
  <dimension ref="B1:M84"/>
  <sheetViews>
    <sheetView tabSelected="1" topLeftCell="B77" zoomScale="110" zoomScaleNormal="110" workbookViewId="0">
      <selection activeCell="F65" sqref="F65:F67"/>
    </sheetView>
  </sheetViews>
  <sheetFormatPr defaultRowHeight="15" x14ac:dyDescent="0.25"/>
  <cols>
    <col min="2" max="2" width="59.140625" customWidth="1"/>
    <col min="3" max="3" width="19.5703125" customWidth="1"/>
    <col min="4" max="4" width="16.5703125" customWidth="1"/>
    <col min="5" max="5" width="21.5703125" customWidth="1"/>
    <col min="6" max="6" width="23.140625" customWidth="1"/>
    <col min="7" max="7" width="23.28515625" customWidth="1"/>
    <col min="8" max="8" width="23.42578125" customWidth="1"/>
    <col min="9" max="9" width="21.5703125" customWidth="1"/>
    <col min="10" max="10" width="13.7109375" customWidth="1"/>
    <col min="11" max="11" width="18" customWidth="1"/>
    <col min="12" max="12" width="11" customWidth="1"/>
    <col min="13" max="13" width="59.7109375" customWidth="1"/>
    <col min="14" max="16" width="23.42578125" customWidth="1"/>
  </cols>
  <sheetData>
    <row r="1" spans="2:13" ht="15.75" thickBot="1" x14ac:dyDescent="0.3"/>
    <row r="2" spans="2:13" ht="15.75" thickBot="1" x14ac:dyDescent="0.3">
      <c r="B2" s="5" t="s">
        <v>0</v>
      </c>
      <c r="C2" s="6" t="s">
        <v>11</v>
      </c>
      <c r="D2" s="6" t="s">
        <v>1</v>
      </c>
      <c r="E2" s="6" t="s">
        <v>12</v>
      </c>
      <c r="F2" s="6" t="s">
        <v>21</v>
      </c>
      <c r="G2" s="6" t="s">
        <v>27</v>
      </c>
      <c r="H2" s="6" t="s">
        <v>29</v>
      </c>
      <c r="I2" s="6" t="s">
        <v>3</v>
      </c>
      <c r="J2" s="6" t="s">
        <v>2</v>
      </c>
      <c r="K2" s="11" t="s">
        <v>4</v>
      </c>
      <c r="L2" s="14" t="s">
        <v>5</v>
      </c>
      <c r="M2" s="13" t="s">
        <v>15</v>
      </c>
    </row>
    <row r="3" spans="2:13" ht="34.5" customHeight="1" x14ac:dyDescent="0.25">
      <c r="B3" s="3" t="s">
        <v>6</v>
      </c>
      <c r="C3" s="3">
        <v>5.5</v>
      </c>
      <c r="D3" s="4"/>
      <c r="E3" s="8">
        <v>5000</v>
      </c>
      <c r="F3" s="8" t="s">
        <v>22</v>
      </c>
      <c r="G3" s="9" t="s">
        <v>28</v>
      </c>
      <c r="H3" s="9" t="s">
        <v>30</v>
      </c>
      <c r="I3" s="15" t="s">
        <v>31</v>
      </c>
      <c r="J3" s="9">
        <v>1</v>
      </c>
      <c r="K3" s="9">
        <v>0.02</v>
      </c>
      <c r="L3" s="1" t="s">
        <v>13</v>
      </c>
      <c r="M3" s="1" t="s">
        <v>17</v>
      </c>
    </row>
    <row r="4" spans="2:13" x14ac:dyDescent="0.25">
      <c r="B4" s="1" t="s">
        <v>7</v>
      </c>
      <c r="C4" s="1">
        <v>3</v>
      </c>
      <c r="D4" s="2"/>
      <c r="E4" s="7">
        <v>1000</v>
      </c>
      <c r="F4" s="10" t="s">
        <v>23</v>
      </c>
      <c r="G4" s="10">
        <v>0.8</v>
      </c>
      <c r="H4" s="10" t="s">
        <v>32</v>
      </c>
      <c r="I4" s="10"/>
      <c r="J4" s="10">
        <v>1</v>
      </c>
      <c r="K4" s="10">
        <v>0</v>
      </c>
      <c r="L4" s="1" t="s">
        <v>13</v>
      </c>
      <c r="M4" s="1" t="s">
        <v>18</v>
      </c>
    </row>
    <row r="5" spans="2:13" x14ac:dyDescent="0.25">
      <c r="B5" s="1" t="s">
        <v>8</v>
      </c>
      <c r="C5" s="1">
        <v>5</v>
      </c>
      <c r="D5" s="2"/>
      <c r="E5" s="7">
        <v>5000</v>
      </c>
      <c r="F5" s="7" t="s">
        <v>25</v>
      </c>
      <c r="G5" s="10">
        <v>1</v>
      </c>
      <c r="H5" s="10" t="s">
        <v>28</v>
      </c>
      <c r="I5" s="7"/>
      <c r="J5" s="10">
        <v>1.1000000000000001</v>
      </c>
      <c r="K5" s="10">
        <v>0.01</v>
      </c>
      <c r="L5" s="1" t="s">
        <v>13</v>
      </c>
      <c r="M5" s="1" t="s">
        <v>19</v>
      </c>
    </row>
    <row r="6" spans="2:13" x14ac:dyDescent="0.25">
      <c r="B6" s="1" t="s">
        <v>10</v>
      </c>
      <c r="C6" s="1">
        <v>5</v>
      </c>
      <c r="D6" s="2"/>
      <c r="E6" s="7">
        <v>10000</v>
      </c>
      <c r="F6" s="7" t="s">
        <v>24</v>
      </c>
      <c r="G6" s="10">
        <v>1</v>
      </c>
      <c r="H6" s="10" t="s">
        <v>28</v>
      </c>
      <c r="I6" s="7"/>
      <c r="J6" s="10">
        <v>1.05</v>
      </c>
      <c r="K6" s="10">
        <v>0.02</v>
      </c>
      <c r="L6" s="1" t="s">
        <v>14</v>
      </c>
      <c r="M6" s="1" t="s">
        <v>16</v>
      </c>
    </row>
    <row r="7" spans="2:13" ht="58.5" customHeight="1" x14ac:dyDescent="0.25">
      <c r="B7" s="1" t="s">
        <v>9</v>
      </c>
      <c r="C7" s="1">
        <v>5</v>
      </c>
      <c r="D7" s="2"/>
      <c r="E7" s="7">
        <v>1000</v>
      </c>
      <c r="F7" s="7" t="s">
        <v>26</v>
      </c>
      <c r="G7" s="10">
        <v>1</v>
      </c>
      <c r="H7" s="10" t="s">
        <v>28</v>
      </c>
      <c r="I7" s="16" t="s">
        <v>33</v>
      </c>
      <c r="J7" s="10">
        <v>1.1000000000000001</v>
      </c>
      <c r="K7" s="10">
        <v>0.02</v>
      </c>
      <c r="L7" s="1" t="s">
        <v>14</v>
      </c>
      <c r="M7" s="1" t="s">
        <v>20</v>
      </c>
    </row>
    <row r="8" spans="2:13" x14ac:dyDescent="0.25"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</row>
    <row r="11" spans="2:13" x14ac:dyDescent="0.25">
      <c r="B11" s="22"/>
      <c r="C11" s="22" t="s">
        <v>37</v>
      </c>
      <c r="D11" s="22" t="s">
        <v>38</v>
      </c>
      <c r="E11" s="23" t="s">
        <v>2</v>
      </c>
      <c r="F11" s="22" t="s">
        <v>39</v>
      </c>
      <c r="G11" s="17"/>
      <c r="H11" s="17"/>
      <c r="I11" s="17"/>
      <c r="J11" s="17"/>
      <c r="K11" s="17"/>
    </row>
    <row r="12" spans="2:13" x14ac:dyDescent="0.25">
      <c r="B12" s="1" t="s">
        <v>34</v>
      </c>
      <c r="C12" s="7">
        <v>100</v>
      </c>
      <c r="D12" s="10">
        <v>0.02</v>
      </c>
      <c r="E12" s="12">
        <v>1</v>
      </c>
      <c r="F12" s="7">
        <f>-C12*E12-(D12*C12)</f>
        <v>-102</v>
      </c>
      <c r="G12" s="17"/>
      <c r="H12" s="17"/>
      <c r="I12" s="17"/>
      <c r="J12" s="17"/>
      <c r="K12" s="17"/>
    </row>
    <row r="13" spans="2:13" x14ac:dyDescent="0.25">
      <c r="B13" s="1" t="s">
        <v>35</v>
      </c>
      <c r="C13" s="7">
        <v>100</v>
      </c>
      <c r="D13" s="10">
        <v>0</v>
      </c>
      <c r="E13" s="12">
        <v>1</v>
      </c>
      <c r="F13" s="7">
        <f t="shared" ref="F13:F14" si="0">-C13*E13-(D13*C13)</f>
        <v>-100</v>
      </c>
      <c r="G13" s="17"/>
      <c r="H13" s="17"/>
      <c r="I13" s="17"/>
      <c r="J13" s="17"/>
      <c r="K13" s="17"/>
    </row>
    <row r="14" spans="2:13" x14ac:dyDescent="0.25">
      <c r="B14" s="1" t="s">
        <v>36</v>
      </c>
      <c r="C14" s="7">
        <v>100</v>
      </c>
      <c r="D14" s="10">
        <v>0.01</v>
      </c>
      <c r="E14" s="12">
        <v>1.1000000000000001</v>
      </c>
      <c r="F14" s="7">
        <f t="shared" si="0"/>
        <v>-111.00000000000001</v>
      </c>
      <c r="G14" s="17"/>
      <c r="H14" s="17"/>
      <c r="I14" s="17"/>
      <c r="J14" s="17"/>
      <c r="K14" s="17"/>
    </row>
    <row r="16" spans="2:13" x14ac:dyDescent="0.25">
      <c r="B16" s="22" t="s">
        <v>34</v>
      </c>
      <c r="C16" s="22" t="s">
        <v>40</v>
      </c>
      <c r="D16" s="22" t="s">
        <v>41</v>
      </c>
      <c r="E16" s="22" t="s">
        <v>43</v>
      </c>
      <c r="F16" s="22" t="s">
        <v>42</v>
      </c>
      <c r="G16" s="22" t="s">
        <v>44</v>
      </c>
    </row>
    <row r="17" spans="2:7" x14ac:dyDescent="0.25">
      <c r="B17" s="10">
        <v>-0.5</v>
      </c>
      <c r="C17" s="19">
        <f>$F$12</f>
        <v>-102</v>
      </c>
      <c r="D17" s="19">
        <f>$C$12*(B17+100%)</f>
        <v>50</v>
      </c>
      <c r="E17" s="19">
        <v>0</v>
      </c>
      <c r="F17" s="19">
        <f>SUM(C17,D17,E17)</f>
        <v>-52</v>
      </c>
      <c r="G17" s="20">
        <f>((D17+E17)/102)^(1/5.5)-1</f>
        <v>-0.12157718727380251</v>
      </c>
    </row>
    <row r="18" spans="2:7" x14ac:dyDescent="0.25">
      <c r="B18" s="10">
        <v>-0.25</v>
      </c>
      <c r="C18" s="19">
        <f t="shared" ref="C18:C23" si="1">$F$12</f>
        <v>-102</v>
      </c>
      <c r="D18" s="19">
        <f t="shared" ref="D18:D19" si="2">$C$12*($B$20+100%)</f>
        <v>100</v>
      </c>
      <c r="E18" s="19">
        <v>0</v>
      </c>
      <c r="F18" s="19">
        <f t="shared" ref="F18:F23" si="3">SUM(C18,D18,E18)</f>
        <v>-2</v>
      </c>
      <c r="G18" s="20">
        <f t="shared" ref="G18:G23" si="4">((D18+E18)/102)^(1/5.5)-1</f>
        <v>-3.5940037425143956E-3</v>
      </c>
    </row>
    <row r="19" spans="2:7" x14ac:dyDescent="0.25">
      <c r="B19" s="10">
        <v>-0.1</v>
      </c>
      <c r="C19" s="19">
        <f t="shared" si="1"/>
        <v>-102</v>
      </c>
      <c r="D19" s="19">
        <f t="shared" si="2"/>
        <v>100</v>
      </c>
      <c r="E19" s="19">
        <v>0</v>
      </c>
      <c r="F19" s="19">
        <f t="shared" si="3"/>
        <v>-2</v>
      </c>
      <c r="G19" s="20">
        <f t="shared" si="4"/>
        <v>-3.5940037425143956E-3</v>
      </c>
    </row>
    <row r="20" spans="2:7" x14ac:dyDescent="0.25">
      <c r="B20" s="10">
        <v>0</v>
      </c>
      <c r="C20" s="19">
        <f t="shared" si="1"/>
        <v>-102</v>
      </c>
      <c r="D20" s="19">
        <f>$C$12*($B$20+100%)</f>
        <v>100</v>
      </c>
      <c r="E20" s="19">
        <v>0</v>
      </c>
      <c r="F20" s="19">
        <f t="shared" si="3"/>
        <v>-2</v>
      </c>
      <c r="G20" s="20">
        <f t="shared" si="4"/>
        <v>-3.5940037425143956E-3</v>
      </c>
    </row>
    <row r="21" spans="2:7" x14ac:dyDescent="0.25">
      <c r="B21" s="10">
        <v>0.1</v>
      </c>
      <c r="C21" s="19">
        <f t="shared" si="1"/>
        <v>-102</v>
      </c>
      <c r="D21" s="19">
        <f t="shared" ref="D21:D23" si="5">$C$12*($B$20+100%)</f>
        <v>100</v>
      </c>
      <c r="E21" s="19">
        <f>C12*B21*3.5</f>
        <v>35</v>
      </c>
      <c r="F21" s="19">
        <f t="shared" si="3"/>
        <v>33</v>
      </c>
      <c r="G21" s="20">
        <f t="shared" si="4"/>
        <v>5.2285003674077846E-2</v>
      </c>
    </row>
    <row r="22" spans="2:7" x14ac:dyDescent="0.25">
      <c r="B22" s="10">
        <v>0.25</v>
      </c>
      <c r="C22" s="19">
        <f t="shared" si="1"/>
        <v>-102</v>
      </c>
      <c r="D22" s="19">
        <f t="shared" si="5"/>
        <v>100</v>
      </c>
      <c r="E22" s="19">
        <f t="shared" ref="E22:E23" si="6">C13*B22*3.5</f>
        <v>87.5</v>
      </c>
      <c r="F22" s="19">
        <f t="shared" si="3"/>
        <v>85.5</v>
      </c>
      <c r="G22" s="20">
        <f t="shared" si="4"/>
        <v>0.11705080874281615</v>
      </c>
    </row>
    <row r="23" spans="2:7" x14ac:dyDescent="0.25">
      <c r="B23" s="10">
        <v>0.5</v>
      </c>
      <c r="C23" s="19">
        <f t="shared" si="1"/>
        <v>-102</v>
      </c>
      <c r="D23" s="19">
        <f t="shared" si="5"/>
        <v>100</v>
      </c>
      <c r="E23" s="19">
        <f t="shared" si="6"/>
        <v>175</v>
      </c>
      <c r="F23" s="19">
        <f t="shared" si="3"/>
        <v>173</v>
      </c>
      <c r="G23" s="20">
        <f t="shared" si="4"/>
        <v>0.1976088702650336</v>
      </c>
    </row>
    <row r="25" spans="2:7" x14ac:dyDescent="0.25">
      <c r="B25" s="22" t="s">
        <v>35</v>
      </c>
      <c r="C25" s="22" t="s">
        <v>40</v>
      </c>
      <c r="D25" s="22" t="s">
        <v>41</v>
      </c>
      <c r="E25" s="22" t="s">
        <v>43</v>
      </c>
      <c r="F25" s="22" t="s">
        <v>42</v>
      </c>
      <c r="G25" s="22" t="s">
        <v>44</v>
      </c>
    </row>
    <row r="26" spans="2:7" x14ac:dyDescent="0.25">
      <c r="B26" s="10">
        <v>-0.5</v>
      </c>
      <c r="C26" s="19">
        <f>$F$13</f>
        <v>-100</v>
      </c>
      <c r="D26" s="19" cm="1">
        <f t="array" ref="D26">_xlfn.IFS(B26&lt;=-20%,$C$13*$G$4,B26&lt;0%,$C$13*$G$4+$C$13*-B26,TRUE,$C$13)</f>
        <v>80</v>
      </c>
      <c r="E26" s="19" cm="1">
        <f t="array" ref="E26">_xlfn.IFS(B26&lt;=0,0,B26&lt;=20%,$C$13*2*B26,TRUE,$C$13*40%)</f>
        <v>0</v>
      </c>
      <c r="F26" s="19">
        <f>SUM(C26,D26,E26)</f>
        <v>-20</v>
      </c>
      <c r="G26" s="20">
        <f>((D26+E26)/100)^(1/3)-1</f>
        <v>-7.1682233277444163E-2</v>
      </c>
    </row>
    <row r="27" spans="2:7" x14ac:dyDescent="0.25">
      <c r="B27" s="10">
        <v>-0.25</v>
      </c>
      <c r="C27" s="19">
        <f t="shared" ref="C27:C32" si="7">$F$13</f>
        <v>-100</v>
      </c>
      <c r="D27" s="19" cm="1">
        <f t="array" ref="D27">_xlfn.IFS(B27&lt;=-20%,$C$13*$G$4,B27&lt;0%,$C$13*$G$4+$C$13*-B27,TRUE,$C$13)</f>
        <v>80</v>
      </c>
      <c r="E27" s="19" cm="1">
        <f t="array" ref="E27">_xlfn.IFS(B27&lt;=0,0,B27&lt;=20%,$C$13*2*B27,TRUE,$C$13*40%)</f>
        <v>0</v>
      </c>
      <c r="F27" s="19">
        <f t="shared" ref="F27:F32" si="8">SUM(C27,D27,E27)</f>
        <v>-20</v>
      </c>
      <c r="G27" s="20">
        <f>((D27+E27)/100)^(1/3)-1</f>
        <v>-7.1682233277444163E-2</v>
      </c>
    </row>
    <row r="28" spans="2:7" x14ac:dyDescent="0.25">
      <c r="B28" s="10">
        <v>-0.1</v>
      </c>
      <c r="C28" s="19">
        <f t="shared" si="7"/>
        <v>-100</v>
      </c>
      <c r="D28" s="19" cm="1">
        <f t="array" ref="D28">_xlfn.IFS(B28&lt;=-20%,$C$13*$G$4,B28&lt;0%,$C$13*$G$4+$C$13*-B28,TRUE,$C$13)</f>
        <v>90</v>
      </c>
      <c r="E28" s="19" cm="1">
        <f t="array" ref="E28">_xlfn.IFS(B28&lt;=0,0,B28&lt;=20%,$C$13*2*B28,TRUE,$C$13*40%)</f>
        <v>0</v>
      </c>
      <c r="F28" s="19">
        <f t="shared" si="8"/>
        <v>-10</v>
      </c>
      <c r="G28" s="20">
        <f t="shared" ref="G28:G31" si="9">((D28+E28)/100)^(1/3)-1</f>
        <v>-3.4510615394370281E-2</v>
      </c>
    </row>
    <row r="29" spans="2:7" x14ac:dyDescent="0.25">
      <c r="B29" s="10">
        <v>0</v>
      </c>
      <c r="C29" s="19">
        <f t="shared" si="7"/>
        <v>-100</v>
      </c>
      <c r="D29" s="19" cm="1">
        <f t="array" ref="D29">_xlfn.IFS(B29&lt;=-20%,$C$13*$G$4,B29&lt;0%,$C$13*$G$4+$C$13*-B29,TRUE,$C$13)</f>
        <v>100</v>
      </c>
      <c r="E29" s="19" cm="1">
        <f t="array" ref="E29">_xlfn.IFS(B29&lt;=0,0,B29&lt;=20%,$C$13*2*B29,TRUE,$C$13*40%)</f>
        <v>0</v>
      </c>
      <c r="F29" s="19">
        <f t="shared" si="8"/>
        <v>0</v>
      </c>
      <c r="G29" s="20">
        <f t="shared" si="9"/>
        <v>0</v>
      </c>
    </row>
    <row r="30" spans="2:7" x14ac:dyDescent="0.25">
      <c r="B30" s="10">
        <v>0.1</v>
      </c>
      <c r="C30" s="19">
        <f t="shared" si="7"/>
        <v>-100</v>
      </c>
      <c r="D30" s="19" cm="1">
        <f t="array" ref="D30">_xlfn.IFS(B30&lt;=-20%,$C$13*$G$4,B30&lt;0%,$C$13*$G$4+$C$13*-B30,TRUE,$C$13)</f>
        <v>100</v>
      </c>
      <c r="E30" s="19" cm="1">
        <f t="array" ref="E30">_xlfn.IFS(B30&lt;=0,0,B30&lt;=20%,$C$13*2*B30,TRUE,$C$13*40%)</f>
        <v>20</v>
      </c>
      <c r="F30" s="19">
        <f t="shared" si="8"/>
        <v>20</v>
      </c>
      <c r="G30" s="20">
        <f t="shared" si="9"/>
        <v>6.2658569182611146E-2</v>
      </c>
    </row>
    <row r="31" spans="2:7" x14ac:dyDescent="0.25">
      <c r="B31" s="10">
        <v>0.25</v>
      </c>
      <c r="C31" s="19">
        <f t="shared" si="7"/>
        <v>-100</v>
      </c>
      <c r="D31" s="19" cm="1">
        <f t="array" ref="D31">_xlfn.IFS(B31&lt;=-20%,$C$13*$G$4,B31&lt;0%,$C$13*$G$4+$C$13*-B31,TRUE,$C$13)</f>
        <v>100</v>
      </c>
      <c r="E31" s="19" cm="1">
        <f t="array" ref="E31">_xlfn.IFS(B31&lt;=0,0,B31&lt;=20%,$C$13*2*B31,TRUE,$C$13*40%)</f>
        <v>40</v>
      </c>
      <c r="F31" s="19">
        <f t="shared" si="8"/>
        <v>40</v>
      </c>
      <c r="G31" s="20">
        <f t="shared" si="9"/>
        <v>0.1186889420813968</v>
      </c>
    </row>
    <row r="32" spans="2:7" x14ac:dyDescent="0.25">
      <c r="B32" s="10">
        <v>0.5</v>
      </c>
      <c r="C32" s="19">
        <f t="shared" si="7"/>
        <v>-100</v>
      </c>
      <c r="D32" s="19" cm="1">
        <f t="array" ref="D32">_xlfn.IFS(B32&lt;=-20%,$C$13*$G$4,B32&lt;0%,$C$13*$G$4+$C$13*-B32,TRUE,$C$13)</f>
        <v>100</v>
      </c>
      <c r="E32" s="19" cm="1">
        <f t="array" ref="E32">_xlfn.IFS(B32&lt;=0,0,B32&lt;=20%,$C$13*2*B32,TRUE,$C$13*40%)</f>
        <v>40</v>
      </c>
      <c r="F32" s="19">
        <f t="shared" si="8"/>
        <v>40</v>
      </c>
      <c r="G32" s="20">
        <f>((D32+E32)/100)^(1/3.05)-1</f>
        <v>0.11663395879139604</v>
      </c>
    </row>
    <row r="34" spans="2:7" x14ac:dyDescent="0.25">
      <c r="B34" s="22" t="s">
        <v>36</v>
      </c>
      <c r="C34" s="22" t="s">
        <v>40</v>
      </c>
      <c r="D34" s="22" t="s">
        <v>41</v>
      </c>
      <c r="E34" s="22" t="s">
        <v>43</v>
      </c>
      <c r="F34" s="22" t="s">
        <v>42</v>
      </c>
      <c r="G34" s="22" t="s">
        <v>44</v>
      </c>
    </row>
    <row r="35" spans="2:7" x14ac:dyDescent="0.25">
      <c r="B35" s="10">
        <v>-0.5</v>
      </c>
      <c r="C35" s="19">
        <f>$F$14</f>
        <v>-111.00000000000001</v>
      </c>
      <c r="D35" s="19">
        <f>$G$5*$C$14</f>
        <v>100</v>
      </c>
      <c r="E35" s="19" cm="1">
        <f t="array" ref="E35">_xlfn.IFS(B35&lt;=0%,0,TRUE,B35*$C$14)</f>
        <v>0</v>
      </c>
      <c r="F35" s="19">
        <f>SUM(C35,D35,E35)</f>
        <v>-11.000000000000014</v>
      </c>
      <c r="G35" s="20">
        <f>((D35+E35)/111)^(1/5)-1</f>
        <v>-2.065569038251347E-2</v>
      </c>
    </row>
    <row r="36" spans="2:7" x14ac:dyDescent="0.25">
      <c r="B36" s="10">
        <v>-0.25</v>
      </c>
      <c r="C36" s="19">
        <f t="shared" ref="C36:C41" si="10">$F$14</f>
        <v>-111.00000000000001</v>
      </c>
      <c r="D36" s="19">
        <f t="shared" ref="D36:D41" si="11">$G$5*$C$14</f>
        <v>100</v>
      </c>
      <c r="E36" s="19" cm="1">
        <f t="array" ref="E36">_xlfn.IFS(B36&lt;=0%,0,TRUE,B36*$C$14*1.3)</f>
        <v>0</v>
      </c>
      <c r="F36" s="19">
        <f t="shared" ref="F36:F41" si="12">SUM(C36,D36,E36)</f>
        <v>-11.000000000000014</v>
      </c>
      <c r="G36" s="20">
        <f t="shared" ref="G36:G41" si="13">((D36+E36)/111)^(1/5)-1</f>
        <v>-2.065569038251347E-2</v>
      </c>
    </row>
    <row r="37" spans="2:7" x14ac:dyDescent="0.25">
      <c r="B37" s="10">
        <v>-0.1</v>
      </c>
      <c r="C37" s="19">
        <f t="shared" si="10"/>
        <v>-111.00000000000001</v>
      </c>
      <c r="D37" s="19">
        <f t="shared" si="11"/>
        <v>100</v>
      </c>
      <c r="E37" s="19" cm="1">
        <f t="array" ref="E37">_xlfn.IFS(B37&lt;=0%,0,TRUE,B37*$C$14*1.3)</f>
        <v>0</v>
      </c>
      <c r="F37" s="19">
        <f t="shared" si="12"/>
        <v>-11.000000000000014</v>
      </c>
      <c r="G37" s="20">
        <f t="shared" si="13"/>
        <v>-2.065569038251347E-2</v>
      </c>
    </row>
    <row r="38" spans="2:7" x14ac:dyDescent="0.25">
      <c r="B38" s="10">
        <v>0</v>
      </c>
      <c r="C38" s="19">
        <f t="shared" si="10"/>
        <v>-111.00000000000001</v>
      </c>
      <c r="D38" s="19">
        <f t="shared" si="11"/>
        <v>100</v>
      </c>
      <c r="E38" s="19" cm="1">
        <f t="array" ref="E38">_xlfn.IFS(B38&lt;=0%,0,TRUE,B38*$C$14*1.3)</f>
        <v>0</v>
      </c>
      <c r="F38" s="19">
        <f t="shared" si="12"/>
        <v>-11.000000000000014</v>
      </c>
      <c r="G38" s="20">
        <f t="shared" si="13"/>
        <v>-2.065569038251347E-2</v>
      </c>
    </row>
    <row r="39" spans="2:7" x14ac:dyDescent="0.25">
      <c r="B39" s="10">
        <v>0.1</v>
      </c>
      <c r="C39" s="19">
        <f t="shared" si="10"/>
        <v>-111.00000000000001</v>
      </c>
      <c r="D39" s="19">
        <f t="shared" si="11"/>
        <v>100</v>
      </c>
      <c r="E39" s="19" cm="1">
        <f t="array" ref="E39">_xlfn.IFS(B39&lt;=0%,0,TRUE,B39*$C$14*1.3)</f>
        <v>13</v>
      </c>
      <c r="F39" s="19">
        <f t="shared" si="12"/>
        <v>1.9999999999999858</v>
      </c>
      <c r="G39" s="20">
        <f t="shared" si="13"/>
        <v>3.577908969697674E-3</v>
      </c>
    </row>
    <row r="40" spans="2:7" x14ac:dyDescent="0.25">
      <c r="B40" s="10">
        <v>0.25</v>
      </c>
      <c r="C40" s="19">
        <f t="shared" si="10"/>
        <v>-111.00000000000001</v>
      </c>
      <c r="D40" s="19">
        <f t="shared" si="11"/>
        <v>100</v>
      </c>
      <c r="E40" s="19" cm="1">
        <f t="array" ref="E40">_xlfn.IFS(B40&lt;=0%,0,TRUE,B40*$C$14*1.3)</f>
        <v>32.5</v>
      </c>
      <c r="F40" s="19">
        <f t="shared" si="12"/>
        <v>21.499999999999986</v>
      </c>
      <c r="G40" s="20">
        <f t="shared" si="13"/>
        <v>3.6044906378201347E-2</v>
      </c>
    </row>
    <row r="41" spans="2:7" x14ac:dyDescent="0.25">
      <c r="B41" s="10">
        <v>0.5</v>
      </c>
      <c r="C41" s="19">
        <f t="shared" si="10"/>
        <v>-111.00000000000001</v>
      </c>
      <c r="D41" s="19">
        <f t="shared" si="11"/>
        <v>100</v>
      </c>
      <c r="E41" s="19" cm="1">
        <f t="array" ref="E41">_xlfn.IFS(B41&lt;=0%,0,TRUE,B41*$C$14*1.3)</f>
        <v>65</v>
      </c>
      <c r="F41" s="19">
        <f t="shared" si="12"/>
        <v>53.999999999999986</v>
      </c>
      <c r="G41" s="20">
        <f t="shared" si="13"/>
        <v>8.2510688249816333E-2</v>
      </c>
    </row>
    <row r="44" spans="2:7" x14ac:dyDescent="0.25">
      <c r="B44" s="22" t="s">
        <v>45</v>
      </c>
      <c r="C44" s="22" t="s">
        <v>46</v>
      </c>
      <c r="D44" s="22" t="s">
        <v>47</v>
      </c>
    </row>
    <row r="45" spans="2:7" x14ac:dyDescent="0.25">
      <c r="B45" s="1" t="s">
        <v>48</v>
      </c>
      <c r="C45" s="1" t="s">
        <v>51</v>
      </c>
      <c r="D45" s="1" t="s">
        <v>52</v>
      </c>
    </row>
    <row r="46" spans="2:7" x14ac:dyDescent="0.25">
      <c r="B46" s="1" t="s">
        <v>53</v>
      </c>
      <c r="C46" s="1">
        <v>5.15</v>
      </c>
      <c r="D46" s="1">
        <v>5</v>
      </c>
    </row>
    <row r="47" spans="2:7" x14ac:dyDescent="0.25">
      <c r="B47" s="1" t="s">
        <v>1</v>
      </c>
      <c r="C47" s="10">
        <v>0.03</v>
      </c>
      <c r="D47" s="20">
        <v>2.3E-2</v>
      </c>
    </row>
    <row r="48" spans="2:7" x14ac:dyDescent="0.25">
      <c r="B48" s="1" t="s">
        <v>49</v>
      </c>
      <c r="C48" s="7">
        <v>1000</v>
      </c>
      <c r="D48" s="7">
        <v>1000</v>
      </c>
    </row>
    <row r="49" spans="2:8" x14ac:dyDescent="0.25">
      <c r="B49" s="1" t="s">
        <v>2</v>
      </c>
      <c r="C49" s="1" t="s">
        <v>54</v>
      </c>
      <c r="D49" s="1" t="s">
        <v>54</v>
      </c>
      <c r="F49" s="24"/>
    </row>
    <row r="50" spans="2:8" x14ac:dyDescent="0.25">
      <c r="B50" s="1" t="s">
        <v>50</v>
      </c>
      <c r="C50" s="1" t="s">
        <v>55</v>
      </c>
      <c r="D50" s="1" t="s">
        <v>55</v>
      </c>
    </row>
    <row r="51" spans="2:8" x14ac:dyDescent="0.25">
      <c r="B51" s="1" t="s">
        <v>56</v>
      </c>
      <c r="C51" s="1" t="s">
        <v>55</v>
      </c>
      <c r="D51" s="1" t="s">
        <v>55</v>
      </c>
    </row>
    <row r="52" spans="2:8" x14ac:dyDescent="0.25">
      <c r="F52" t="s">
        <v>67</v>
      </c>
    </row>
    <row r="53" spans="2:8" x14ac:dyDescent="0.25">
      <c r="B53" s="29" t="s">
        <v>61</v>
      </c>
      <c r="C53" s="30" t="s">
        <v>62</v>
      </c>
      <c r="D53" s="31" t="s">
        <v>57</v>
      </c>
      <c r="E53" s="35" t="s">
        <v>65</v>
      </c>
      <c r="F53" s="35" t="s">
        <v>66</v>
      </c>
      <c r="G53" s="35" t="s">
        <v>68</v>
      </c>
      <c r="H53" s="35" t="s">
        <v>79</v>
      </c>
    </row>
    <row r="54" spans="2:8" x14ac:dyDescent="0.25">
      <c r="B54" s="32">
        <v>0.03</v>
      </c>
      <c r="C54" s="33">
        <v>1000</v>
      </c>
      <c r="D54" s="34">
        <v>42079</v>
      </c>
      <c r="E54" s="18">
        <v>0.02</v>
      </c>
      <c r="F54" s="21">
        <v>-5.0000000000000001E-4</v>
      </c>
      <c r="G54" s="21">
        <v>1.95E-2</v>
      </c>
      <c r="H54" s="25">
        <v>41755</v>
      </c>
    </row>
    <row r="55" spans="2:8" x14ac:dyDescent="0.25">
      <c r="B55" s="36"/>
      <c r="C55" s="37"/>
      <c r="D55" s="38"/>
      <c r="E55" s="18"/>
      <c r="F55" s="21"/>
      <c r="G55" s="21"/>
    </row>
    <row r="56" spans="2:8" x14ac:dyDescent="0.25">
      <c r="B56" s="26" t="s">
        <v>60</v>
      </c>
      <c r="C56" s="27"/>
      <c r="D56" s="27"/>
      <c r="E56" s="27"/>
      <c r="F56" s="27"/>
      <c r="G56" s="28"/>
    </row>
    <row r="57" spans="2:8" x14ac:dyDescent="0.25">
      <c r="B57" s="40">
        <f>G54</f>
        <v>1.95E-2</v>
      </c>
      <c r="C57" s="17" t="s">
        <v>58</v>
      </c>
      <c r="D57" s="17" t="s">
        <v>59</v>
      </c>
      <c r="E57" s="17" t="s">
        <v>63</v>
      </c>
      <c r="F57" s="17" t="s">
        <v>64</v>
      </c>
      <c r="G57" s="39" t="s">
        <v>69</v>
      </c>
    </row>
    <row r="58" spans="2:8" x14ac:dyDescent="0.25">
      <c r="B58" s="40" t="s">
        <v>70</v>
      </c>
      <c r="C58" s="41">
        <v>42120</v>
      </c>
      <c r="D58" s="42">
        <f>C58-$D$54</f>
        <v>41</v>
      </c>
      <c r="E58" s="43">
        <f>$B$54*$C$54</f>
        <v>30</v>
      </c>
      <c r="F58" s="17">
        <f>1/(1+$G$54)^(D58/365)</f>
        <v>0.99783302320306166</v>
      </c>
      <c r="G58" s="44">
        <f>E58*F58</f>
        <v>29.934990696091852</v>
      </c>
    </row>
    <row r="59" spans="2:8" x14ac:dyDescent="0.25">
      <c r="B59" s="40" t="s">
        <v>71</v>
      </c>
      <c r="C59" s="41">
        <v>42486</v>
      </c>
      <c r="D59" s="42">
        <f t="shared" ref="D59:D62" si="14">C59-$D$54</f>
        <v>407</v>
      </c>
      <c r="E59" s="43">
        <f>$B$54*$C$54</f>
        <v>30</v>
      </c>
      <c r="F59" s="17">
        <f t="shared" ref="F59:F62" si="15">1/(1+$G$54)^(D59/365)</f>
        <v>0.9786956633783962</v>
      </c>
      <c r="G59" s="44">
        <f>E59*F59</f>
        <v>29.360869901351887</v>
      </c>
    </row>
    <row r="60" spans="2:8" x14ac:dyDescent="0.25">
      <c r="B60" s="40" t="s">
        <v>72</v>
      </c>
      <c r="C60" s="41">
        <v>42851</v>
      </c>
      <c r="D60" s="42">
        <f t="shared" si="14"/>
        <v>772</v>
      </c>
      <c r="E60" s="43">
        <f>$B$54*$C$54</f>
        <v>30</v>
      </c>
      <c r="F60" s="17">
        <f t="shared" si="15"/>
        <v>0.95997612886551842</v>
      </c>
      <c r="G60" s="44">
        <f t="shared" ref="G60:G62" si="16">E60*F60</f>
        <v>28.799283865965553</v>
      </c>
    </row>
    <row r="61" spans="2:8" x14ac:dyDescent="0.25">
      <c r="B61" s="40" t="s">
        <v>73</v>
      </c>
      <c r="C61" s="41">
        <v>43216</v>
      </c>
      <c r="D61" s="42">
        <f t="shared" si="14"/>
        <v>1137</v>
      </c>
      <c r="E61" s="43">
        <f>$B$54*$C$54</f>
        <v>30</v>
      </c>
      <c r="F61" s="17">
        <f t="shared" si="15"/>
        <v>0.94161464332076361</v>
      </c>
      <c r="G61" s="44">
        <f t="shared" si="16"/>
        <v>28.248439299622909</v>
      </c>
    </row>
    <row r="62" spans="2:8" x14ac:dyDescent="0.25">
      <c r="B62" s="45" t="s">
        <v>74</v>
      </c>
      <c r="C62" s="46">
        <v>43581</v>
      </c>
      <c r="D62" s="47">
        <f t="shared" si="14"/>
        <v>1502</v>
      </c>
      <c r="E62" s="48">
        <f>$B$54*$C$54+C54</f>
        <v>1030</v>
      </c>
      <c r="F62" s="49">
        <f t="shared" si="15"/>
        <v>0.92360435833326482</v>
      </c>
      <c r="G62" s="50">
        <f t="shared" si="16"/>
        <v>951.31248908326279</v>
      </c>
    </row>
    <row r="64" spans="2:8" x14ac:dyDescent="0.25">
      <c r="B64" s="51" t="s">
        <v>75</v>
      </c>
      <c r="C64" s="1" t="s">
        <v>77</v>
      </c>
      <c r="D64" s="1" t="s">
        <v>76</v>
      </c>
      <c r="E64" s="1" t="s">
        <v>78</v>
      </c>
      <c r="F64" s="53" t="s">
        <v>82</v>
      </c>
    </row>
    <row r="65" spans="2:7" x14ac:dyDescent="0.25">
      <c r="B65" s="1" t="s">
        <v>60</v>
      </c>
      <c r="C65" s="52">
        <f>SUM(G58:G62)</f>
        <v>1067.656072846295</v>
      </c>
      <c r="D65" s="52">
        <f>(E58/365)*(D54-H54)</f>
        <v>26.63013698630137</v>
      </c>
      <c r="E65" s="52">
        <f>C65-D65</f>
        <v>1041.0259358599938</v>
      </c>
      <c r="F65" s="52">
        <f>E65-E65</f>
        <v>0</v>
      </c>
    </row>
    <row r="66" spans="2:7" x14ac:dyDescent="0.25">
      <c r="B66" s="1" t="s">
        <v>80</v>
      </c>
      <c r="C66" s="52">
        <f>SUM(G71:G75)</f>
        <v>1028.4169207087728</v>
      </c>
      <c r="D66" s="52">
        <f>(E59/365)*(D54-H54)</f>
        <v>26.63013698630137</v>
      </c>
      <c r="E66" s="52">
        <f>C66-D66</f>
        <v>1001.7867837224713</v>
      </c>
      <c r="F66" s="52">
        <f>E66-E65</f>
        <v>-39.23915213752241</v>
      </c>
    </row>
    <row r="67" spans="2:7" x14ac:dyDescent="0.25">
      <c r="B67" s="1" t="s">
        <v>81</v>
      </c>
      <c r="C67" s="52">
        <f>SUM(G80:G84)</f>
        <v>1088.0134432239356</v>
      </c>
      <c r="D67" s="52">
        <f>(E59/365)*(D54-H54)</f>
        <v>26.63013698630137</v>
      </c>
      <c r="E67" s="52">
        <f>C67-D67</f>
        <v>1061.3833062376343</v>
      </c>
      <c r="F67" s="52">
        <f>E67-E65</f>
        <v>20.357370377640564</v>
      </c>
    </row>
    <row r="69" spans="2:7" x14ac:dyDescent="0.25">
      <c r="B69" s="26" t="s">
        <v>80</v>
      </c>
      <c r="C69" s="27"/>
      <c r="D69" s="27"/>
      <c r="E69" s="27"/>
      <c r="F69" s="27"/>
      <c r="G69" s="28"/>
    </row>
    <row r="70" spans="2:7" x14ac:dyDescent="0.25">
      <c r="B70" s="40">
        <f>$G$54+1%</f>
        <v>2.9499999999999998E-2</v>
      </c>
      <c r="C70" s="17" t="s">
        <v>58</v>
      </c>
      <c r="D70" s="17" t="s">
        <v>59</v>
      </c>
      <c r="E70" s="17" t="s">
        <v>63</v>
      </c>
      <c r="F70" s="17" t="s">
        <v>64</v>
      </c>
      <c r="G70" s="39" t="s">
        <v>69</v>
      </c>
    </row>
    <row r="71" spans="2:7" x14ac:dyDescent="0.25">
      <c r="B71" s="40" t="s">
        <v>70</v>
      </c>
      <c r="C71" s="41">
        <v>42120</v>
      </c>
      <c r="D71" s="42">
        <f>C71-$D$54</f>
        <v>41</v>
      </c>
      <c r="E71" s="43">
        <f>$B$54*$C$54</f>
        <v>30</v>
      </c>
      <c r="F71" s="17">
        <f>1/(1+$B$70)^(D71/365)</f>
        <v>0.9967395647542665</v>
      </c>
      <c r="G71" s="44">
        <f>E71*F71</f>
        <v>29.902186942627996</v>
      </c>
    </row>
    <row r="72" spans="2:7" x14ac:dyDescent="0.25">
      <c r="B72" s="40" t="s">
        <v>71</v>
      </c>
      <c r="C72" s="41">
        <v>42486</v>
      </c>
      <c r="D72" s="42">
        <f t="shared" ref="D72:D75" si="17">C72-$D$54</f>
        <v>407</v>
      </c>
      <c r="E72" s="43">
        <f>$B$54*$C$54</f>
        <v>30</v>
      </c>
      <c r="F72" s="17">
        <f t="shared" ref="F72:F75" si="18">1/(1+$B$70)^(D72/365)</f>
        <v>0.96810118978713788</v>
      </c>
      <c r="G72" s="44">
        <f>E72*F72</f>
        <v>29.043035693614137</v>
      </c>
    </row>
    <row r="73" spans="2:7" x14ac:dyDescent="0.25">
      <c r="B73" s="40" t="s">
        <v>72</v>
      </c>
      <c r="C73" s="41">
        <v>42851</v>
      </c>
      <c r="D73" s="42">
        <f t="shared" si="17"/>
        <v>772</v>
      </c>
      <c r="E73" s="43">
        <f>$B$54*$C$54</f>
        <v>30</v>
      </c>
      <c r="F73" s="17">
        <f t="shared" si="18"/>
        <v>0.94036055346006575</v>
      </c>
      <c r="G73" s="44">
        <f t="shared" ref="G73:G75" si="19">E73*F73</f>
        <v>28.210816603801973</v>
      </c>
    </row>
    <row r="74" spans="2:7" x14ac:dyDescent="0.25">
      <c r="B74" s="40" t="s">
        <v>73</v>
      </c>
      <c r="C74" s="41">
        <v>43216</v>
      </c>
      <c r="D74" s="42">
        <f t="shared" si="17"/>
        <v>1137</v>
      </c>
      <c r="E74" s="43">
        <f>$B$54*$C$54</f>
        <v>30</v>
      </c>
      <c r="F74" s="17">
        <f t="shared" si="18"/>
        <v>0.91341481637694577</v>
      </c>
      <c r="G74" s="44">
        <f t="shared" si="19"/>
        <v>27.402444491308373</v>
      </c>
    </row>
    <row r="75" spans="2:7" x14ac:dyDescent="0.25">
      <c r="B75" s="45" t="s">
        <v>74</v>
      </c>
      <c r="C75" s="46">
        <v>43581</v>
      </c>
      <c r="D75" s="47">
        <f t="shared" si="17"/>
        <v>1502</v>
      </c>
      <c r="E75" s="48">
        <f>$B$54*$C$54+C54</f>
        <v>1030</v>
      </c>
      <c r="F75" s="49">
        <f t="shared" si="18"/>
        <v>0.88724120094895165</v>
      </c>
      <c r="G75" s="50">
        <f t="shared" si="19"/>
        <v>913.85843697742018</v>
      </c>
    </row>
    <row r="78" spans="2:7" x14ac:dyDescent="0.25">
      <c r="B78" s="26" t="s">
        <v>80</v>
      </c>
      <c r="C78" s="27"/>
      <c r="D78" s="27"/>
      <c r="E78" s="27"/>
      <c r="F78" s="27"/>
      <c r="G78" s="28"/>
    </row>
    <row r="79" spans="2:7" x14ac:dyDescent="0.25">
      <c r="B79" s="40">
        <f>$G$54-0.5%</f>
        <v>1.4499999999999999E-2</v>
      </c>
      <c r="C79" s="17" t="s">
        <v>58</v>
      </c>
      <c r="D79" s="17" t="s">
        <v>59</v>
      </c>
      <c r="E79" s="17" t="s">
        <v>63</v>
      </c>
      <c r="F79" s="17" t="s">
        <v>64</v>
      </c>
      <c r="G79" s="39" t="s">
        <v>69</v>
      </c>
    </row>
    <row r="80" spans="2:7" x14ac:dyDescent="0.25">
      <c r="B80" s="40" t="s">
        <v>70</v>
      </c>
      <c r="C80" s="41">
        <v>42120</v>
      </c>
      <c r="D80" s="42">
        <f>C80-$D$54</f>
        <v>41</v>
      </c>
      <c r="E80" s="43">
        <f>$B$54*$C$54</f>
        <v>30</v>
      </c>
      <c r="F80" s="17">
        <f>1/(1+$B$79)^(D80/365)</f>
        <v>0.99838423527169873</v>
      </c>
      <c r="G80" s="44">
        <f>E80*F80</f>
        <v>29.951527058150962</v>
      </c>
    </row>
    <row r="81" spans="2:7" x14ac:dyDescent="0.25">
      <c r="B81" s="40" t="s">
        <v>71</v>
      </c>
      <c r="C81" s="41">
        <v>42486</v>
      </c>
      <c r="D81" s="42">
        <f t="shared" ref="D81:D84" si="20">C81-$D$54</f>
        <v>407</v>
      </c>
      <c r="E81" s="43">
        <f>$B$54*$C$54</f>
        <v>30</v>
      </c>
      <c r="F81" s="17">
        <f t="shared" ref="F81:F84" si="21">1/(1+$B$79)^(D81/365)</f>
        <v>0.98407576048035461</v>
      </c>
      <c r="G81" s="44">
        <f>E81*F81</f>
        <v>29.522272814410638</v>
      </c>
    </row>
    <row r="82" spans="2:7" x14ac:dyDescent="0.25">
      <c r="B82" s="40" t="s">
        <v>72</v>
      </c>
      <c r="C82" s="41">
        <v>42851</v>
      </c>
      <c r="D82" s="42">
        <f t="shared" si="20"/>
        <v>772</v>
      </c>
      <c r="E82" s="43">
        <f>$B$54*$C$54</f>
        <v>30</v>
      </c>
      <c r="F82" s="17">
        <f t="shared" si="21"/>
        <v>0.97001060668344474</v>
      </c>
      <c r="G82" s="44">
        <f t="shared" ref="G82:G84" si="22">E82*F82</f>
        <v>29.100318200503342</v>
      </c>
    </row>
    <row r="83" spans="2:7" x14ac:dyDescent="0.25">
      <c r="B83" s="40" t="s">
        <v>73</v>
      </c>
      <c r="C83" s="41">
        <v>43216</v>
      </c>
      <c r="D83" s="42">
        <f t="shared" si="20"/>
        <v>1137</v>
      </c>
      <c r="E83" s="43">
        <f>$B$54*$C$54</f>
        <v>30</v>
      </c>
      <c r="F83" s="17">
        <f t="shared" si="21"/>
        <v>0.95614648268451941</v>
      </c>
      <c r="G83" s="44">
        <f t="shared" si="22"/>
        <v>28.68439448053558</v>
      </c>
    </row>
    <row r="84" spans="2:7" x14ac:dyDescent="0.25">
      <c r="B84" s="45" t="s">
        <v>74</v>
      </c>
      <c r="C84" s="46">
        <v>43581</v>
      </c>
      <c r="D84" s="47">
        <f t="shared" si="20"/>
        <v>1502</v>
      </c>
      <c r="E84" s="48">
        <f>$B$54*$C$54+C54</f>
        <v>1030</v>
      </c>
      <c r="F84" s="49">
        <f>1/(1+$B$79)^(D84/365)</f>
        <v>0.94248051521391751</v>
      </c>
      <c r="G84" s="50">
        <f t="shared" si="22"/>
        <v>970.75493067033506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Hektor Dahlberg</dc:creator>
  <cp:lastModifiedBy>Hektor Dahlberg</cp:lastModifiedBy>
  <dcterms:created xsi:type="dcterms:W3CDTF">2026-04-13T10:55:20Z</dcterms:created>
  <dcterms:modified xsi:type="dcterms:W3CDTF">2026-04-15T12:00:57Z</dcterms:modified>
</cp:coreProperties>
</file>