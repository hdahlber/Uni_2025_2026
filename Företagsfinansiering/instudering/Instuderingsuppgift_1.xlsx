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kto\Desktop\Kurser\2025-2026\Uni_2025_2026\Företagsfinansiering\"/>
    </mc:Choice>
  </mc:AlternateContent>
  <xr:revisionPtr revIDLastSave="0" documentId="8_{AFD6B738-704A-434C-A0E9-BD205692D99C}" xr6:coauthVersionLast="47" xr6:coauthVersionMax="47" xr10:uidLastSave="{00000000-0000-0000-0000-000000000000}"/>
  <bookViews>
    <workbookView xWindow="-120" yWindow="-120" windowWidth="29040" windowHeight="15720" xr2:uid="{80FED12A-9A5D-4680-9DEB-9E23624D1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0" i="1"/>
  <c r="I6" i="1"/>
  <c r="J6" i="1"/>
  <c r="K6" i="1"/>
  <c r="L6" i="1"/>
  <c r="H6" i="1"/>
  <c r="H5" i="1"/>
  <c r="C14" i="1"/>
  <c r="I5" i="1"/>
  <c r="J5" i="1"/>
  <c r="K5" i="1"/>
  <c r="L5" i="1"/>
</calcChain>
</file>

<file path=xl/sharedStrings.xml><?xml version="1.0" encoding="utf-8"?>
<sst xmlns="http://schemas.openxmlformats.org/spreadsheetml/2006/main" count="22" uniqueCount="19">
  <si>
    <t>Hektor Dahlberg</t>
  </si>
  <si>
    <t>t1</t>
  </si>
  <si>
    <t>t2</t>
  </si>
  <si>
    <t>t3</t>
  </si>
  <si>
    <t>t4</t>
  </si>
  <si>
    <t>t5</t>
  </si>
  <si>
    <t>kassaflöde</t>
  </si>
  <si>
    <t>Avkastningskrav</t>
  </si>
  <si>
    <t>Instrumentets pris</t>
  </si>
  <si>
    <t>nuvärdet</t>
  </si>
  <si>
    <t>NPV</t>
  </si>
  <si>
    <t>Svar:</t>
  </si>
  <si>
    <t>1. Om instrumentets pris på marknaden är 55 000 €, uppfyller investeringen det angivna avkastningskravet på 8 %?</t>
  </si>
  <si>
    <t>Nej då NPV är mindre än 0</t>
  </si>
  <si>
    <t>2. Till vilket pris prissätts instrumentet på en effektiv marknad om avkastningskravet är 8 %?</t>
  </si>
  <si>
    <t>3. Hur ändras situationen om avkastningskravet sjunker till 6 %?</t>
  </si>
  <si>
    <t>nuvärdet(6%)</t>
  </si>
  <si>
    <t>NPV:</t>
  </si>
  <si>
    <t>Upfyller det angivna avkastningskravet då NPV är större eller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</si>
</sst>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4" xfId="0" applyBorder="1"/>
    <xf numFmtId="2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2" xfId="0" applyBorder="1"/>
    <xf numFmtId="2" fontId="0" fillId="0" borderId="0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/>
    <xf numFmtId="0" fontId="0" fillId="0" borderId="6" xfId="0" applyFill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1B4E-7AEC-4A89-B5AB-D4F155B65FB8}">
  <dimension ref="A1:O18"/>
  <sheetViews>
    <sheetView tabSelected="1" workbookViewId="0">
      <selection activeCell="O19" sqref="O19"/>
    </sheetView>
  </sheetViews>
  <sheetFormatPr defaultRowHeight="15" x14ac:dyDescent="0.25"/>
  <cols>
    <col min="2" max="2" width="18.42578125" customWidth="1"/>
    <col min="3" max="3" width="10.28515625" bestFit="1" customWidth="1"/>
    <col min="7" max="7" width="19.7109375" customWidth="1"/>
  </cols>
  <sheetData>
    <row r="1" spans="1:15" x14ac:dyDescent="0.25">
      <c r="A1" s="26" t="s">
        <v>0</v>
      </c>
      <c r="B1" s="27"/>
      <c r="C1" s="27"/>
      <c r="D1" s="27"/>
      <c r="E1" s="32"/>
      <c r="F1" s="32"/>
      <c r="G1" s="32"/>
      <c r="H1" s="32"/>
      <c r="I1" s="32"/>
      <c r="J1" s="32"/>
      <c r="K1" s="32"/>
      <c r="L1" s="32"/>
      <c r="M1" s="33"/>
    </row>
    <row r="2" spans="1:15" x14ac:dyDescent="0.25">
      <c r="A2" s="29"/>
      <c r="B2" s="15"/>
      <c r="C2" s="15"/>
      <c r="D2" s="15"/>
      <c r="E2" s="10"/>
      <c r="F2" s="10"/>
      <c r="G2" s="10"/>
      <c r="H2" s="10">
        <v>1</v>
      </c>
      <c r="I2" s="10">
        <v>2</v>
      </c>
      <c r="J2" s="10">
        <v>3</v>
      </c>
      <c r="K2" s="10">
        <v>4</v>
      </c>
      <c r="L2" s="10">
        <v>5</v>
      </c>
      <c r="M2" s="11"/>
    </row>
    <row r="3" spans="1:15" x14ac:dyDescent="0.25">
      <c r="A3" s="8"/>
      <c r="B3" s="10"/>
      <c r="C3" s="10"/>
      <c r="D3" s="10"/>
      <c r="E3" s="10"/>
      <c r="F3" s="10"/>
      <c r="G3" s="10"/>
      <c r="H3" s="10" t="s">
        <v>1</v>
      </c>
      <c r="I3" s="10" t="s">
        <v>2</v>
      </c>
      <c r="J3" s="10" t="s">
        <v>3</v>
      </c>
      <c r="K3" s="10" t="s">
        <v>4</v>
      </c>
      <c r="L3" s="10" t="s">
        <v>5</v>
      </c>
      <c r="M3" s="11"/>
    </row>
    <row r="4" spans="1:15" x14ac:dyDescent="0.25">
      <c r="A4" s="8"/>
      <c r="B4" s="10" t="s">
        <v>7</v>
      </c>
      <c r="C4" s="9">
        <v>0.08</v>
      </c>
      <c r="D4" s="10"/>
      <c r="E4" s="10"/>
      <c r="F4" s="10"/>
      <c r="G4" s="10" t="s">
        <v>6</v>
      </c>
      <c r="H4" s="10">
        <v>10000</v>
      </c>
      <c r="I4" s="10">
        <v>10000</v>
      </c>
      <c r="J4" s="10">
        <v>10000</v>
      </c>
      <c r="K4" s="10">
        <v>15000</v>
      </c>
      <c r="L4" s="10">
        <v>25000</v>
      </c>
      <c r="M4" s="11"/>
    </row>
    <row r="5" spans="1:15" x14ac:dyDescent="0.25">
      <c r="A5" s="8"/>
      <c r="B5" s="10" t="s">
        <v>7</v>
      </c>
      <c r="C5" s="10">
        <v>0.06</v>
      </c>
      <c r="D5" s="10"/>
      <c r="E5" s="10"/>
      <c r="F5" s="10"/>
      <c r="G5" s="10" t="s">
        <v>9</v>
      </c>
      <c r="H5" s="9">
        <f>H4/(1+$C$4)^H2</f>
        <v>9259.2592592592591</v>
      </c>
      <c r="I5" s="9">
        <f t="shared" ref="I5:L5" si="0">I4/(1+$C$4)^I2</f>
        <v>8573.388203017832</v>
      </c>
      <c r="J5" s="9">
        <f t="shared" si="0"/>
        <v>7938.3224102016957</v>
      </c>
      <c r="K5" s="9">
        <f t="shared" si="0"/>
        <v>11025.447791946799</v>
      </c>
      <c r="L5" s="9">
        <f t="shared" si="0"/>
        <v>17014.579925843824</v>
      </c>
      <c r="M5" s="11"/>
      <c r="O5" s="1"/>
    </row>
    <row r="6" spans="1:15" x14ac:dyDescent="0.25">
      <c r="A6" s="8"/>
      <c r="B6" s="10" t="s">
        <v>8</v>
      </c>
      <c r="C6" s="10">
        <v>55000</v>
      </c>
      <c r="D6" s="10"/>
      <c r="E6" s="10"/>
      <c r="F6" s="10"/>
      <c r="G6" s="10" t="s">
        <v>16</v>
      </c>
      <c r="H6" s="10">
        <f>H4/(1+$C$5)^H2</f>
        <v>9433.9622641509432</v>
      </c>
      <c r="I6" s="10">
        <f t="shared" ref="I6:L6" si="1">I4/(1+$C$5)^I2</f>
        <v>8899.9644001423985</v>
      </c>
      <c r="J6" s="10">
        <f t="shared" si="1"/>
        <v>8396.1928303230161</v>
      </c>
      <c r="K6" s="10">
        <f t="shared" si="1"/>
        <v>11881.404948570305</v>
      </c>
      <c r="L6" s="10">
        <f t="shared" si="1"/>
        <v>18681.454321651421</v>
      </c>
      <c r="M6" s="11"/>
    </row>
    <row r="7" spans="1:15" x14ac:dyDescent="0.25">
      <c r="A7" s="8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1:15" ht="15" customHeight="1" x14ac:dyDescent="0.25">
      <c r="A8" s="8"/>
      <c r="B8" s="2" t="s">
        <v>12</v>
      </c>
      <c r="C8" s="3"/>
      <c r="D8" s="3"/>
      <c r="E8" s="3"/>
      <c r="F8" s="3"/>
      <c r="G8" s="4"/>
      <c r="H8" s="10"/>
      <c r="I8" s="10"/>
      <c r="J8" s="10"/>
      <c r="K8" s="10"/>
      <c r="L8" s="10"/>
      <c r="M8" s="11"/>
    </row>
    <row r="9" spans="1:15" ht="14.25" customHeight="1" x14ac:dyDescent="0.25">
      <c r="A9" s="8"/>
      <c r="B9" s="5"/>
      <c r="C9" s="6"/>
      <c r="D9" s="6"/>
      <c r="E9" s="6"/>
      <c r="F9" s="6"/>
      <c r="G9" s="7"/>
      <c r="H9" s="10"/>
      <c r="I9" s="10"/>
      <c r="J9" s="10"/>
      <c r="K9" s="10"/>
      <c r="L9" s="10"/>
      <c r="M9" s="11"/>
    </row>
    <row r="10" spans="1:15" x14ac:dyDescent="0.25">
      <c r="A10" s="8"/>
      <c r="B10" s="8" t="s">
        <v>10</v>
      </c>
      <c r="C10" s="9">
        <f>SUM(H5:L5)-C6</f>
        <v>-1189.0024097305868</v>
      </c>
      <c r="D10" s="10"/>
      <c r="E10" s="10"/>
      <c r="F10" s="10"/>
      <c r="G10" s="11"/>
      <c r="H10" s="10"/>
      <c r="I10" s="10"/>
      <c r="J10" s="10"/>
      <c r="K10" s="10"/>
      <c r="L10" s="10"/>
      <c r="M10" s="11"/>
    </row>
    <row r="11" spans="1:15" ht="15.75" thickBot="1" x14ac:dyDescent="0.3">
      <c r="A11" s="8"/>
      <c r="B11" s="8" t="s">
        <v>11</v>
      </c>
      <c r="C11" s="15" t="s">
        <v>13</v>
      </c>
      <c r="D11" s="15"/>
      <c r="E11" s="15"/>
      <c r="F11" s="15"/>
      <c r="G11" s="16"/>
      <c r="H11" s="10"/>
      <c r="I11" s="10"/>
      <c r="J11" s="10"/>
      <c r="K11" s="10"/>
      <c r="L11" s="10"/>
      <c r="M11" s="11"/>
    </row>
    <row r="12" spans="1:15" x14ac:dyDescent="0.25">
      <c r="A12" s="8"/>
      <c r="B12" s="17" t="s">
        <v>14</v>
      </c>
      <c r="C12" s="18"/>
      <c r="D12" s="18"/>
      <c r="E12" s="18"/>
      <c r="F12" s="18"/>
      <c r="G12" s="19"/>
      <c r="H12" s="10"/>
      <c r="I12" s="10"/>
      <c r="J12" s="10"/>
      <c r="K12" s="10"/>
      <c r="L12" s="10"/>
      <c r="M12" s="11"/>
    </row>
    <row r="13" spans="1:15" x14ac:dyDescent="0.25">
      <c r="A13" s="8"/>
      <c r="B13" s="20"/>
      <c r="C13" s="21"/>
      <c r="D13" s="21"/>
      <c r="E13" s="21"/>
      <c r="F13" s="21"/>
      <c r="G13" s="22"/>
      <c r="H13" s="10"/>
      <c r="I13" s="10"/>
      <c r="J13" s="10"/>
      <c r="K13" s="10"/>
      <c r="L13" s="10"/>
      <c r="M13" s="11"/>
    </row>
    <row r="14" spans="1:15" x14ac:dyDescent="0.25">
      <c r="A14" s="8"/>
      <c r="B14" s="23" t="s">
        <v>11</v>
      </c>
      <c r="C14" s="24">
        <f>SUM(H5:L5)</f>
        <v>53810.997590269413</v>
      </c>
      <c r="D14" s="15"/>
      <c r="E14" s="15"/>
      <c r="F14" s="15"/>
      <c r="G14" s="25"/>
      <c r="H14" s="10"/>
      <c r="I14" s="10"/>
      <c r="J14" s="10"/>
      <c r="K14" s="10"/>
      <c r="L14" s="10"/>
      <c r="M14" s="11"/>
    </row>
    <row r="15" spans="1:15" x14ac:dyDescent="0.25">
      <c r="A15" s="8"/>
      <c r="B15" s="26" t="s">
        <v>15</v>
      </c>
      <c r="C15" s="27"/>
      <c r="D15" s="27"/>
      <c r="E15" s="27"/>
      <c r="F15" s="27"/>
      <c r="G15" s="28"/>
      <c r="H15" s="10"/>
      <c r="I15" s="10"/>
      <c r="J15" s="10"/>
      <c r="K15" s="10"/>
      <c r="L15" s="10"/>
      <c r="M15" s="11"/>
    </row>
    <row r="16" spans="1:15" x14ac:dyDescent="0.25">
      <c r="A16" s="8"/>
      <c r="B16" s="29"/>
      <c r="C16" s="15"/>
      <c r="D16" s="15"/>
      <c r="E16" s="15"/>
      <c r="F16" s="15"/>
      <c r="G16" s="16"/>
      <c r="H16" s="10"/>
      <c r="I16" s="10"/>
      <c r="J16" s="10"/>
      <c r="K16" s="10"/>
      <c r="L16" s="10"/>
      <c r="M16" s="11"/>
    </row>
    <row r="17" spans="1:13" x14ac:dyDescent="0.25">
      <c r="A17" s="8"/>
      <c r="B17" s="30" t="s">
        <v>17</v>
      </c>
      <c r="C17" s="9">
        <f>SUM(H6:L6)-C6</f>
        <v>2292.978764838088</v>
      </c>
      <c r="D17" s="10"/>
      <c r="E17" s="10"/>
      <c r="F17" s="10"/>
      <c r="G17" s="11"/>
      <c r="H17" s="10"/>
      <c r="I17" s="10"/>
      <c r="J17" s="10"/>
      <c r="K17" s="10"/>
      <c r="L17" s="10"/>
      <c r="M17" s="11"/>
    </row>
    <row r="18" spans="1:13" x14ac:dyDescent="0.25">
      <c r="A18" s="12"/>
      <c r="B18" s="31" t="s">
        <v>11</v>
      </c>
      <c r="C18" s="13" t="s">
        <v>18</v>
      </c>
      <c r="D18" s="13"/>
      <c r="E18" s="13"/>
      <c r="F18" s="13"/>
      <c r="G18" s="14"/>
      <c r="H18" s="34"/>
      <c r="I18" s="34"/>
      <c r="J18" s="34"/>
      <c r="K18" s="34"/>
      <c r="L18" s="34"/>
      <c r="M18" s="35"/>
    </row>
  </sheetData>
  <mergeCells count="7">
    <mergeCell ref="C14:G14"/>
    <mergeCell ref="B15:G16"/>
    <mergeCell ref="C18:G18"/>
    <mergeCell ref="A1:D2"/>
    <mergeCell ref="B8:G9"/>
    <mergeCell ref="B12:G13"/>
    <mergeCell ref="C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Hektor Dahlberg</dc:creator>
  <cp:lastModifiedBy>Hektor Dahlberg</cp:lastModifiedBy>
  <dcterms:created xsi:type="dcterms:W3CDTF">2026-03-16T16:40:58Z</dcterms:created>
  <dcterms:modified xsi:type="dcterms:W3CDTF">2026-03-16T17:01:03Z</dcterms:modified>
</cp:coreProperties>
</file>